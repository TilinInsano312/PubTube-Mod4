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⚙ Configuración Sprint 1" sheetId="1" r:id="rId5"/>
    <sheet state="visible" name="📋 Sprint 1 Backlog" sheetId="2" r:id="rId6"/>
    <sheet state="visible" name="📊 Métricas Sprint 1" sheetId="3" r:id="rId7"/>
    <sheet state="visible" name="⚙ Configuración Sprint 2" sheetId="4" r:id="rId8"/>
    <sheet state="visible" name="📋 Sprint 2 Backlog" sheetId="5" r:id="rId9"/>
    <sheet state="visible" name="📊 Métricas Sprint 2" sheetId="6" r:id="rId10"/>
    <sheet state="visible" name="📉 Burndown" sheetId="7" r:id="rId11"/>
    <sheet state="visible" name="🔄 Retrospectiva Sprint 1" sheetId="8" r:id="rId12"/>
    <sheet state="visible" name="🔄 Retrospectiva Sprint 2" sheetId="9" r:id="rId13"/>
  </sheets>
  <definedNames/>
  <calcPr/>
</workbook>
</file>

<file path=xl/sharedStrings.xml><?xml version="1.0" encoding="utf-8"?>
<sst xmlns="http://schemas.openxmlformats.org/spreadsheetml/2006/main" count="294" uniqueCount="159">
  <si>
    <t>🏃  Configuración del Sprint</t>
  </si>
  <si>
    <t>Completa estos datos antes de comenzar el sprint</t>
  </si>
  <si>
    <t xml:space="preserve">  📋  Datos del Sprint</t>
  </si>
  <si>
    <t>Nombre del proyecto</t>
  </si>
  <si>
    <t>PubTube</t>
  </si>
  <si>
    <t>Ej: PubTube</t>
  </si>
  <si>
    <t>Número de sprint</t>
  </si>
  <si>
    <t>Ej: 1, 2, 3...</t>
  </si>
  <si>
    <t>Equipo / Módulo</t>
  </si>
  <si>
    <t>Equipo D — M4 Panel/Gateway</t>
  </si>
  <si>
    <t>Ej: Equipo A</t>
  </si>
  <si>
    <t>Fecha de inicio</t>
  </si>
  <si>
    <t>DD/MM/AAAA</t>
  </si>
  <si>
    <t>Fecha de cierre (Review)</t>
  </si>
  <si>
    <t>Duración (sesiones Lun/Jue)</t>
  </si>
  <si>
    <t>Sesiones de trabajo</t>
  </si>
  <si>
    <t>Story Points comprometidos (total)</t>
  </si>
  <si>
    <t>SP del Sprint Backlog</t>
  </si>
  <si>
    <t>Velocidad sprint anterior</t>
  </si>
  <si>
    <t>SP completados sprint previo</t>
  </si>
  <si>
    <t>Número de integrantes</t>
  </si>
  <si>
    <t>Personas en el equipo</t>
  </si>
  <si>
    <t xml:space="preserve">  🎯  Definition of Done (DoD)</t>
  </si>
  <si>
    <t xml:space="preserve">  ✔  Código revisado por al menos un par (Code Review)</t>
  </si>
  <si>
    <t xml:space="preserve">  ✔  Pruebas unitarias/integración escritas y pasando (cobertura ≥ 70%)</t>
  </si>
  <si>
    <t xml:space="preserve">  ✔  Contrato actualizado (OpenAPI + catálogo de eventos) si cambió una interfaz</t>
  </si>
  <si>
    <t xml:space="preserve">  ✔  Sin errores críticos en la integración con otros módulos</t>
  </si>
  <si>
    <t xml:space="preserve">  ✔  Desplegable con docker compose y demostrable en el Review</t>
  </si>
  <si>
    <t xml:space="preserve">  📌  Notas del Sprint</t>
  </si>
  <si>
    <t>- Impedimentos con los modulos 1 y 3
- Se solicito implementacion de autentificacion con el modulo 3 pero no se pudo concretar por ambiguedades y
falta de entrega en las fechas acordadas
- Se solicito implementacion de funcionalidades con el modulo 1 pero por falta de la fecha acordada y acceso al 
repositorio no se pudo concretar
- El desarrollo en este sprint fue mas lento de lo esperado por falta de miembros del equipo pero no fue
perjudial ya que no se pudo solventar los impedimientos.</t>
  </si>
  <si>
    <t>📋  Sprint 1 Backlog</t>
  </si>
  <si>
    <t>Agrega/edita las User Stories del sprint. 'SP Completados' y 'Estado' se actualizan durante el sprint.</t>
  </si>
  <si>
    <t>ID</t>
  </si>
  <si>
    <t>User Story / Tarea</t>
  </si>
  <si>
    <t>Responsable</t>
  </si>
  <si>
    <t>SP Estimados</t>
  </si>
  <si>
    <t>SP Completados</t>
  </si>
  <si>
    <t>Estado</t>
  </si>
  <si>
    <t>Prioridad</t>
  </si>
  <si>
    <t>US-D1-1</t>
  </si>
  <si>
    <t>Configurar gateway/BFF (Nginx/Traefik o servicio propio)</t>
  </si>
  <si>
    <t>Sebastian Sandoval</t>
  </si>
  <si>
    <t>✅ Done</t>
  </si>
  <si>
    <t>Alta</t>
  </si>
  <si>
    <t>US-D1-2</t>
  </si>
  <si>
    <t>Implementar validación JWT</t>
  </si>
  <si>
    <t>Bebel Bravo, Bastian Almonacid</t>
  </si>
  <si>
    <t>US-D1-3</t>
  </si>
  <si>
    <t>Rate limiting y enrutamiento por módulo</t>
  </si>
  <si>
    <t>Media</t>
  </si>
  <si>
    <t>US-D1-4</t>
  </si>
  <si>
    <t>Pruebas de autenticación y ruteo</t>
  </si>
  <si>
    <t>Bastian Almonacid</t>
  </si>
  <si>
    <t>TECH-D1</t>
  </si>
  <si>
    <t>Docker Compose base del stack completo</t>
  </si>
  <si>
    <t>Andres Alvarez</t>
  </si>
  <si>
    <t>TECH-01</t>
  </si>
  <si>
    <t>Repo Git: ROLES.md, README, .env.example, CI base</t>
  </si>
  <si>
    <t>Todos</t>
  </si>
  <si>
    <t>TOTAL SP DEL SPRINT</t>
  </si>
  <si>
    <t>📊  Métricas del Sprint</t>
  </si>
  <si>
    <t>Estas métricas se calculan automáticamente desde el Backlog y la Configuración</t>
  </si>
  <si>
    <t xml:space="preserve">  🎯  Progreso del Sprint</t>
  </si>
  <si>
    <t>SP comprometidos</t>
  </si>
  <si>
    <t>Total de SP del Sprint Backlog</t>
  </si>
  <si>
    <t>SP completados</t>
  </si>
  <si>
    <t>SP en estado Done hasta hoy</t>
  </si>
  <si>
    <t>SP restantes</t>
  </si>
  <si>
    <t>SP que aún deben completarse</t>
  </si>
  <si>
    <t>% completado</t>
  </si>
  <si>
    <t>Avance real del sprint</t>
  </si>
  <si>
    <t>Historias Done</t>
  </si>
  <si>
    <t>Historias completadas</t>
  </si>
  <si>
    <t>Historias en progreso</t>
  </si>
  <si>
    <t>En desarrollo activo</t>
  </si>
  <si>
    <t xml:space="preserve">  ⚡  Velocidad y Predicción</t>
  </si>
  <si>
    <t>Velocidad sprint actual (real)</t>
  </si>
  <si>
    <t>SP completados en este sprint</t>
  </si>
  <si>
    <t>SP completados en sprint previo</t>
  </si>
  <si>
    <t>Variación de velocidad</t>
  </si>
  <si>
    <t>Positivo = mejora respecto al anterior</t>
  </si>
  <si>
    <t>SP/persona/sprint</t>
  </si>
  <si>
    <t>Productividad promedio del equipo</t>
  </si>
  <si>
    <t>SP/persona/sesión</t>
  </si>
  <si>
    <t>Ritmo por sesión del equipo</t>
  </si>
  <si>
    <t xml:space="preserve">  🏥  Salud del Sprint</t>
  </si>
  <si>
    <t>Sesiones transcurridas</t>
  </si>
  <si>
    <t>Actualizar manualmente cada sesión</t>
  </si>
  <si>
    <t>Sesiones restantes</t>
  </si>
  <si>
    <t>Sesiones hasta el Sprint Review</t>
  </si>
  <si>
    <t>SP/sesión requerido</t>
  </si>
  <si>
    <t>Ritmo necesario para completar el sprint</t>
  </si>
  <si>
    <t>SP/sesión logrado</t>
  </si>
  <si>
    <t>Ritmo real del equipo</t>
  </si>
  <si>
    <t>Índice de rendimiento (SPI)</t>
  </si>
  <si>
    <t>SPI &gt;1 = adelantado  |  SPI &lt;1 = atrasado</t>
  </si>
  <si>
    <t xml:space="preserve">  Interpretación del SPI (Schedule Performance Index):</t>
  </si>
  <si>
    <t>SPI &gt; 1.1</t>
  </si>
  <si>
    <t>Equipo adelantado — considerar asumir trabajo extra (backlog stretch)</t>
  </si>
  <si>
    <t>SPI 0.9 – 1.1</t>
  </si>
  <si>
    <t>Equipo dentro del ritmo esperado ✓</t>
  </si>
  <si>
    <t>SPI 0.7 – 0.9</t>
  </si>
  <si>
    <t>Leve atraso — revisar impedimentos en la Daily</t>
  </si>
  <si>
    <t>SPI &lt; 0.7</t>
  </si>
  <si>
    <t>Atraso crítico — replanificar el sprint con el PO</t>
  </si>
  <si>
    <t>📋  Sprint 2 Backlog</t>
  </si>
  <si>
    <t>US-D7.T1</t>
  </si>
  <si>
    <t xml:space="preserve">Logging estructurado y correlationId </t>
  </si>
  <si>
    <t>Vicente Salazar</t>
  </si>
  <si>
    <t>US-D7.T2</t>
  </si>
  <si>
    <t>Métricas Prometheus</t>
  </si>
  <si>
    <t>Ándres Álvarez</t>
  </si>
  <si>
    <t>US-D7.T3</t>
  </si>
  <si>
    <t>OpenTelemetry y propagación de contexto</t>
  </si>
  <si>
    <t>US-D7.T4</t>
  </si>
  <si>
    <t>Dashboards Grafana</t>
  </si>
  <si>
    <t>US-D5.T1</t>
  </si>
  <si>
    <t xml:space="preserve">Agregación de estados de publicación </t>
  </si>
  <si>
    <t>US-D5.T2</t>
  </si>
  <si>
    <t>UI del dashboard y filtros</t>
  </si>
  <si>
    <t>🔄 In Progress</t>
  </si>
  <si>
    <t>US-D5.T3</t>
  </si>
  <si>
    <t>Endpoint GET /api/dashboard</t>
  </si>
  <si>
    <t>Belen Bravo</t>
  </si>
  <si>
    <t>US-D5.T4</t>
  </si>
  <si>
    <t>Pruebas del dashboard</t>
  </si>
  <si>
    <t>📉  Burndown Chart — Seguimiento por Sesión (Lun/Jue)</t>
  </si>
  <si>
    <t>Actualiza 'SP Completados Hoy' al final de cada Daily (lunes y jueves).</t>
  </si>
  <si>
    <t>Sprint</t>
  </si>
  <si>
    <t>Sesión</t>
  </si>
  <si>
    <t>Fecha</t>
  </si>
  <si>
    <t>SP Restantes (Ideal)</t>
  </si>
  <si>
    <t>SP Completados Hoy</t>
  </si>
  <si>
    <t>SP Acumulados</t>
  </si>
  <si>
    <t>SP Restantes (Real)</t>
  </si>
  <si>
    <t>31/08/26</t>
  </si>
  <si>
    <t>03/09/26</t>
  </si>
  <si>
    <t>07/09/26</t>
  </si>
  <si>
    <t>10/09/26</t>
  </si>
  <si>
    <t>14/09/26</t>
  </si>
  <si>
    <t>17/09/26</t>
  </si>
  <si>
    <t>21/09/26</t>
  </si>
  <si>
    <t>🔄  Retrospectiva del Sprint</t>
  </si>
  <si>
    <t>Completa al finalizar el Sprint Review (formato Keep / Drop / Try)</t>
  </si>
  <si>
    <t>✅  KEEP — Lo que funcionó bien</t>
  </si>
  <si>
    <t xml:space="preserve">  •  Mantener el desarrollo en clase al nivel que se trabajo en este sprint</t>
  </si>
  <si>
    <t xml:space="preserve">  •  Comunicacion cuando falta algo</t>
  </si>
  <si>
    <t>❌  DROP — Lo que hay que dejar de hacer</t>
  </si>
  <si>
    <t>🚀  TRY — Lo que queremos intentar</t>
  </si>
  <si>
    <t xml:space="preserve">  •  Establecer mejor comunicacion con los modulos con documentos aun mas detallados para evitar
ambiguedad (terminos especificos)</t>
  </si>
  <si>
    <t>📌  Acciones Concretas para el Próximo Sprint</t>
  </si>
  <si>
    <t>Acción</t>
  </si>
  <si>
    <t>Fecha límite</t>
  </si>
  <si>
    <t>Tener las US de forma demostrable mediante
la VPS</t>
  </si>
  <si>
    <t>Desarrolador de turno
de la US</t>
  </si>
  <si>
    <t>Tener mejor planificacion al presentar</t>
  </si>
  <si>
    <t xml:space="preserve">  •  Deberia existir unar version unica definitiva del proyecto entre los 4 modulos que sea accesible y utilizable en demostraciones</t>
  </si>
  <si>
    <t xml:space="preserve">  •  Evadir justificaciones de forma preventiva/anticipada a la falta de algo en presentación</t>
  </si>
  <si>
    <t xml:space="preserve">  •  Intentar mantener reuniones con otros modulos con algun nivel de regularidad (Si solo para evitar retrasos de deudas tecnicas)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</si>
</sst>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\+#,##0;\-#,##0;0"/>
    <numFmt numFmtId="166" formatCode="0.0"/>
    <numFmt numFmtId="167" formatCode="d/m/yyyy"/>
  </numFmts>
  <fonts count="26">
    <font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rgb="FFFFFFFF"/>
      <name val="Calibri"/>
    </font>
    <font/>
    <font>
      <sz val="10.0"/>
      <color rgb="FF64748B"/>
      <name val="Calibri"/>
    </font>
    <font>
      <b/>
      <sz val="11.0"/>
      <color rgb="FFFFFFFF"/>
      <name val="Calibri"/>
    </font>
    <font>
      <sz val="11.0"/>
      <color rgb="FF1A2E4A"/>
      <name val="Calibri"/>
    </font>
    <font>
      <b/>
      <sz val="11.0"/>
      <color rgb="FF1D5FA8"/>
      <name val="Calibri"/>
    </font>
    <font>
      <sz val="9.0"/>
      <color rgb="FF64748B"/>
      <name val="Calibri"/>
    </font>
    <font>
      <sz val="10.0"/>
      <color rgb="FF1E7E34"/>
      <name val="Calibri"/>
    </font>
    <font>
      <b/>
      <sz val="10.0"/>
      <color rgb="FF1A2E4A"/>
      <name val="Calibri"/>
    </font>
    <font>
      <sz val="10.0"/>
      <color rgb="FF1A2E4A"/>
      <name val="Calibri"/>
    </font>
    <font>
      <b/>
      <sz val="11.0"/>
      <color rgb="FF0D8A8A"/>
      <name val="Calibri"/>
    </font>
    <font>
      <b/>
      <sz val="10.0"/>
      <color rgb="FFB5232A"/>
      <name val="Calibri"/>
    </font>
    <font>
      <b/>
      <sz val="10.0"/>
      <color rgb="FFD4860B"/>
      <name val="Calibri"/>
    </font>
    <font>
      <b/>
      <sz val="13.0"/>
      <color rgb="FFFFFFFF"/>
      <name val="Calibri"/>
    </font>
    <font>
      <b/>
      <sz val="12.0"/>
      <color rgb="FF1A2E4A"/>
      <name val="Calibri"/>
    </font>
    <font>
      <b/>
      <sz val="10.0"/>
      <color rgb="FF1E7E34"/>
      <name val="Calibri"/>
    </font>
    <font>
      <b/>
      <sz val="10.0"/>
      <color rgb="FF1D5FA8"/>
      <name val="Calibri"/>
    </font>
    <font>
      <b/>
      <sz val="10.0"/>
      <color rgb="FFFFFFFF"/>
      <name val="Calibri"/>
    </font>
    <font>
      <b/>
      <sz val="11.0"/>
      <color rgb="FF1A2E4A"/>
      <name val="Calibri"/>
    </font>
    <font>
      <sz val="11.0"/>
      <color rgb="FF1E7E34"/>
      <name val="Calibri"/>
    </font>
    <font>
      <b/>
      <sz val="11.0"/>
      <color rgb="FFB5232A"/>
      <name val="Calibri"/>
    </font>
    <font>
      <b/>
      <sz val="12.0"/>
      <color rgb="FFFFFFFF"/>
      <name val="Calibri"/>
    </font>
    <font>
      <sz val="11.0"/>
      <color rgb="FF64748B"/>
      <name val="Calibri"/>
    </font>
    <font>
      <sz val="11.0"/>
      <color rgb="FFD4860B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F5F7FA"/>
        <bgColor rgb="FFF5F7FA"/>
      </patternFill>
    </fill>
    <fill>
      <patternFill patternType="solid">
        <fgColor rgb="FF1D5FA8"/>
        <bgColor rgb="FF1D5FA8"/>
      </patternFill>
    </fill>
    <fill>
      <patternFill patternType="solid">
        <fgColor rgb="FFFFFFFF"/>
        <bgColor rgb="FFFFFFFF"/>
      </patternFill>
    </fill>
    <fill>
      <patternFill patternType="solid">
        <fgColor rgb="FFE8F5EC"/>
        <bgColor rgb="FFE8F5EC"/>
      </patternFill>
    </fill>
    <fill>
      <patternFill patternType="solid">
        <fgColor rgb="FF0D8A8A"/>
        <bgColor rgb="FF0D8A8A"/>
      </patternFill>
    </fill>
    <fill>
      <patternFill patternType="solid">
        <fgColor rgb="FFE0F4F4"/>
        <bgColor rgb="FFE0F4F4"/>
      </patternFill>
    </fill>
    <fill>
      <patternFill patternType="solid">
        <fgColor rgb="FFD4860B"/>
        <bgColor rgb="FFD4860B"/>
      </patternFill>
    </fill>
    <fill>
      <patternFill patternType="solid">
        <fgColor rgb="FFB5232A"/>
        <bgColor rgb="FFB5232A"/>
      </patternFill>
    </fill>
    <fill>
      <patternFill patternType="solid">
        <fgColor rgb="FFE8F0FA"/>
        <bgColor rgb="FFE8F0FA"/>
      </patternFill>
    </fill>
    <fill>
      <patternFill patternType="solid">
        <fgColor rgb="FFFAEAEA"/>
        <bgColor rgb="FFFAEAEA"/>
      </patternFill>
    </fill>
    <fill>
      <patternFill patternType="solid">
        <fgColor rgb="FFFDF3E0"/>
        <bgColor rgb="FFFDF3E0"/>
      </patternFill>
    </fill>
    <fill>
      <patternFill patternType="solid">
        <fgColor rgb="FF1E7E34"/>
        <bgColor rgb="FF1E7E34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left" vertical="center"/>
    </xf>
    <xf borderId="1" fillId="4" fontId="5" numFmtId="0" xfId="0" applyAlignment="1" applyBorder="1" applyFill="1" applyFont="1">
      <alignment horizontal="left" vertical="center"/>
    </xf>
    <xf borderId="4" fillId="3" fontId="6" numFmtId="0" xfId="0" applyAlignment="1" applyBorder="1" applyFill="1" applyFont="1">
      <alignment horizontal="left" vertical="center"/>
    </xf>
    <xf borderId="4" fillId="5" fontId="7" numFmtId="0" xfId="0" applyAlignment="1" applyBorder="1" applyFill="1" applyFont="1">
      <alignment horizontal="center" vertical="center"/>
    </xf>
    <xf borderId="4" fillId="3" fontId="8" numFmtId="0" xfId="0" applyAlignment="1" applyBorder="1" applyFill="1" applyFont="1">
      <alignment horizontal="left" vertical="center"/>
    </xf>
    <xf borderId="4" fillId="5" fontId="7" numFmtId="14" xfId="0" applyAlignment="1" applyBorder="1" applyFill="1" applyFont="1" applyNumberFormat="1">
      <alignment horizontal="center" vertical="center"/>
    </xf>
    <xf borderId="4" fillId="5" fontId="7" numFmtId="0" xfId="0" applyAlignment="1" applyBorder="1" applyFill="1" applyFont="1">
      <alignment horizontal="center" readingOrder="0" vertical="center"/>
    </xf>
    <xf borderId="1" fillId="6" fontId="9" numFmtId="0" xfId="0" applyAlignment="1" applyBorder="1" applyFill="1" applyFont="1">
      <alignment horizontal="left" vertical="center"/>
    </xf>
    <xf borderId="1" fillId="7" fontId="5" numFmtId="0" xfId="0" applyAlignment="1" applyBorder="1" applyFill="1" applyFont="1">
      <alignment horizontal="left" vertical="center"/>
    </xf>
    <xf borderId="5" fillId="8" fontId="4" numFmtId="0" xfId="0" applyAlignment="1" applyBorder="1" applyFill="1" applyFont="1">
      <alignment horizontal="left" readingOrder="0" shrinkToFit="0" vertical="top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" fillId="2" fontId="2" numFmtId="0" xfId="0" applyAlignment="1" applyBorder="1" applyFill="1" applyFont="1">
      <alignment horizontal="left" readingOrder="0" vertical="center"/>
    </xf>
    <xf borderId="13" fillId="2" fontId="5" numFmtId="0" xfId="0" applyAlignment="1" applyBorder="1" applyFill="1" applyFont="1">
      <alignment horizontal="center" shrinkToFit="0" vertical="center" wrapText="1"/>
    </xf>
    <xf borderId="13" fillId="4" fontId="5" numFmtId="0" xfId="0" applyAlignment="1" applyBorder="1" applyFill="1" applyFont="1">
      <alignment horizontal="center" shrinkToFit="0" vertical="center" wrapText="1"/>
    </xf>
    <xf borderId="13" fillId="7" fontId="5" numFmtId="0" xfId="0" applyAlignment="1" applyBorder="1" applyFill="1" applyFont="1">
      <alignment horizontal="center" shrinkToFit="0" vertical="center" wrapText="1"/>
    </xf>
    <xf borderId="13" fillId="9" fontId="5" numFmtId="0" xfId="0" applyAlignment="1" applyBorder="1" applyFill="1" applyFont="1">
      <alignment horizontal="center" shrinkToFit="0" vertical="center" wrapText="1"/>
    </xf>
    <xf borderId="13" fillId="10" fontId="5" numFmtId="0" xfId="0" applyAlignment="1" applyBorder="1" applyFill="1" applyFont="1">
      <alignment horizontal="center" shrinkToFit="0" vertical="center" wrapText="1"/>
    </xf>
    <xf borderId="13" fillId="5" fontId="10" numFmtId="0" xfId="0" applyAlignment="1" applyBorder="1" applyFill="1" applyFont="1">
      <alignment horizontal="center" readingOrder="0" vertical="center"/>
    </xf>
    <xf borderId="13" fillId="5" fontId="11" numFmtId="0" xfId="0" applyAlignment="1" applyBorder="1" applyFill="1" applyFont="1">
      <alignment horizontal="left" readingOrder="0" shrinkToFit="0" vertical="center" wrapText="1"/>
    </xf>
    <xf borderId="13" fillId="5" fontId="4" numFmtId="0" xfId="0" applyAlignment="1" applyBorder="1" applyFill="1" applyFont="1">
      <alignment horizontal="left" readingOrder="0" vertical="center"/>
    </xf>
    <xf borderId="13" fillId="11" fontId="7" numFmtId="0" xfId="0" applyAlignment="1" applyBorder="1" applyFill="1" applyFont="1">
      <alignment horizontal="center" readingOrder="0" vertical="center"/>
    </xf>
    <xf borderId="13" fillId="8" fontId="12" numFmtId="0" xfId="0" applyAlignment="1" applyBorder="1" applyFill="1" applyFont="1">
      <alignment horizontal="center" readingOrder="0" vertical="center"/>
    </xf>
    <xf borderId="13" fillId="3" fontId="4" numFmtId="0" xfId="0" applyAlignment="1" applyBorder="1" applyFill="1" applyFont="1">
      <alignment horizontal="center" readingOrder="0" vertical="center"/>
    </xf>
    <xf borderId="13" fillId="12" fontId="13" numFmtId="0" xfId="0" applyAlignment="1" applyBorder="1" applyFill="1" applyFont="1">
      <alignment horizontal="center" vertical="center"/>
    </xf>
    <xf borderId="13" fillId="3" fontId="10" numFmtId="0" xfId="0" applyAlignment="1" applyBorder="1" applyFill="1" applyFont="1">
      <alignment horizontal="center" readingOrder="0" vertical="center"/>
    </xf>
    <xf borderId="13" fillId="3" fontId="11" numFmtId="0" xfId="0" applyAlignment="1" applyBorder="1" applyFill="1" applyFont="1">
      <alignment horizontal="left" readingOrder="0" shrinkToFit="0" vertical="center" wrapText="1"/>
    </xf>
    <xf borderId="13" fillId="3" fontId="4" numFmtId="0" xfId="0" applyAlignment="1" applyBorder="1" applyFill="1" applyFont="1">
      <alignment horizontal="left" readingOrder="0" vertical="center"/>
    </xf>
    <xf borderId="13" fillId="13" fontId="14" numFmtId="0" xfId="0" applyAlignment="1" applyBorder="1" applyFill="1" applyFont="1">
      <alignment horizontal="center" vertical="center"/>
    </xf>
    <xf borderId="13" fillId="5" fontId="10" numFmtId="0" xfId="0" applyAlignment="1" applyBorder="1" applyFill="1" applyFont="1">
      <alignment horizontal="center" vertical="center"/>
    </xf>
    <xf borderId="13" fillId="5" fontId="11" numFmtId="0" xfId="0" applyAlignment="1" applyBorder="1" applyFill="1" applyFont="1">
      <alignment horizontal="left" shrinkToFit="0" vertical="center" wrapText="1"/>
    </xf>
    <xf borderId="13" fillId="11" fontId="7" numFmtId="0" xfId="0" applyAlignment="1" applyBorder="1" applyFill="1" applyFont="1">
      <alignment horizontal="center" vertical="center"/>
    </xf>
    <xf borderId="13" fillId="3" fontId="10" numFmtId="0" xfId="0" applyAlignment="1" applyBorder="1" applyFill="1" applyFont="1">
      <alignment horizontal="center" vertical="center"/>
    </xf>
    <xf borderId="13" fillId="3" fontId="11" numFmtId="0" xfId="0" applyAlignment="1" applyBorder="1" applyFill="1" applyFont="1">
      <alignment horizontal="left" shrinkToFit="0" vertical="center" wrapText="1"/>
    </xf>
    <xf borderId="13" fillId="5" fontId="6" numFmtId="0" xfId="0" applyAlignment="1" applyBorder="1" applyFill="1" applyFont="1">
      <alignment vertical="center"/>
    </xf>
    <xf borderId="13" fillId="3" fontId="6" numFmtId="0" xfId="0" applyAlignment="1" applyBorder="1" applyFill="1" applyFont="1">
      <alignment vertical="center"/>
    </xf>
    <xf borderId="1" fillId="2" fontId="5" numFmtId="0" xfId="0" applyAlignment="1" applyBorder="1" applyFill="1" applyFont="1">
      <alignment horizontal="left" vertical="center"/>
    </xf>
    <xf borderId="4" fillId="4" fontId="15" numFmtId="0" xfId="0" applyAlignment="1" applyBorder="1" applyFill="1" applyFont="1">
      <alignment horizontal="center" vertical="center"/>
    </xf>
    <xf borderId="4" fillId="7" fontId="15" numFmtId="0" xfId="0" applyAlignment="1" applyBorder="1" applyFill="1" applyFont="1">
      <alignment horizontal="center" vertical="center"/>
    </xf>
    <xf borderId="4" fillId="7" fontId="5" numFmtId="9" xfId="0" applyAlignment="1" applyBorder="1" applyFill="1" applyFont="1" applyNumberFormat="1">
      <alignment horizontal="center" vertical="center"/>
    </xf>
    <xf borderId="4" fillId="2" fontId="6" numFmtId="0" xfId="0" applyAlignment="1" applyBorder="1" applyFill="1" applyFont="1">
      <alignment vertical="center"/>
    </xf>
    <xf borderId="4" fillId="5" fontId="6" numFmtId="0" xfId="0" applyAlignment="1" applyBorder="1" applyFill="1" applyFont="1">
      <alignment horizontal="left" vertical="center"/>
    </xf>
    <xf borderId="4" fillId="11" fontId="16" numFmtId="3" xfId="0" applyAlignment="1" applyBorder="1" applyFill="1" applyFont="1" applyNumberFormat="1">
      <alignment horizontal="center" vertical="center"/>
    </xf>
    <xf borderId="4" fillId="5" fontId="8" numFmtId="0" xfId="0" applyAlignment="1" applyBorder="1" applyFill="1" applyFont="1">
      <alignment horizontal="left" vertical="center"/>
    </xf>
    <xf borderId="4" fillId="5" fontId="6" numFmtId="0" xfId="0" applyAlignment="1" applyBorder="1" applyFill="1" applyFont="1">
      <alignment vertical="center"/>
    </xf>
    <xf borderId="4" fillId="3" fontId="6" numFmtId="0" xfId="0" applyAlignment="1" applyBorder="1" applyFill="1" applyFont="1">
      <alignment vertical="center"/>
    </xf>
    <xf borderId="4" fillId="11" fontId="16" numFmtId="164" xfId="0" applyAlignment="1" applyBorder="1" applyFill="1" applyFont="1" applyNumberFormat="1">
      <alignment horizontal="center" vertical="center"/>
    </xf>
    <xf borderId="4" fillId="11" fontId="16" numFmtId="165" xfId="0" applyAlignment="1" applyBorder="1" applyFill="1" applyFont="1" applyNumberFormat="1">
      <alignment horizontal="center" vertical="center"/>
    </xf>
    <xf borderId="4" fillId="11" fontId="16" numFmtId="166" xfId="0" applyAlignment="1" applyBorder="1" applyFill="1" applyFont="1" applyNumberFormat="1">
      <alignment horizontal="center" vertical="center"/>
    </xf>
    <xf borderId="4" fillId="11" fontId="16" numFmtId="2" xfId="0" applyAlignment="1" applyBorder="1" applyFill="1" applyFont="1" applyNumberFormat="1">
      <alignment horizontal="center" vertical="center"/>
    </xf>
    <xf borderId="1" fillId="9" fontId="5" numFmtId="0" xfId="0" applyAlignment="1" applyBorder="1" applyFill="1" applyFont="1">
      <alignment horizontal="left" vertical="center"/>
    </xf>
    <xf borderId="4" fillId="11" fontId="16" numFmtId="3" xfId="0" applyAlignment="1" applyBorder="1" applyFill="1" applyFont="1" applyNumberFormat="1">
      <alignment horizontal="center" readingOrder="0" vertical="center"/>
    </xf>
    <xf borderId="1" fillId="3" fontId="10" numFmtId="0" xfId="0" applyAlignment="1" applyBorder="1" applyFill="1" applyFont="1">
      <alignment horizontal="left" vertical="center"/>
    </xf>
    <xf borderId="4" fillId="6" fontId="17" numFmtId="0" xfId="0" applyAlignment="1" applyBorder="1" applyFill="1" applyFont="1">
      <alignment horizontal="left" vertical="center"/>
    </xf>
    <xf borderId="1" fillId="6" fontId="11" numFmtId="0" xfId="0" applyAlignment="1" applyBorder="1" applyFill="1" applyFont="1">
      <alignment horizontal="left" vertical="center"/>
    </xf>
    <xf borderId="4" fillId="11" fontId="18" numFmtId="0" xfId="0" applyAlignment="1" applyBorder="1" applyFill="1" applyFont="1">
      <alignment horizontal="left" vertical="center"/>
    </xf>
    <xf borderId="1" fillId="11" fontId="11" numFmtId="0" xfId="0" applyAlignment="1" applyBorder="1" applyFill="1" applyFont="1">
      <alignment horizontal="left" vertical="center"/>
    </xf>
    <xf borderId="4" fillId="13" fontId="14" numFmtId="0" xfId="0" applyAlignment="1" applyBorder="1" applyFill="1" applyFont="1">
      <alignment horizontal="left" vertical="center"/>
    </xf>
    <xf borderId="1" fillId="13" fontId="11" numFmtId="0" xfId="0" applyAlignment="1" applyBorder="1" applyFill="1" applyFont="1">
      <alignment horizontal="left" vertical="center"/>
    </xf>
    <xf borderId="4" fillId="12" fontId="13" numFmtId="0" xfId="0" applyAlignment="1" applyBorder="1" applyFill="1" applyFont="1">
      <alignment horizontal="left" vertical="center"/>
    </xf>
    <xf borderId="1" fillId="12" fontId="11" numFmtId="0" xfId="0" applyAlignment="1" applyBorder="1" applyFill="1" applyFont="1">
      <alignment horizontal="left" vertical="center"/>
    </xf>
    <xf borderId="4" fillId="5" fontId="7" numFmtId="167" xfId="0" applyAlignment="1" applyBorder="1" applyFill="1" applyFont="1" applyNumberFormat="1">
      <alignment horizontal="center" readingOrder="0" vertical="center"/>
    </xf>
    <xf borderId="13" fillId="13" fontId="13" numFmtId="0" xfId="0" applyAlignment="1" applyBorder="1" applyFill="1" applyFont="1">
      <alignment horizontal="center" readingOrder="0" vertical="center"/>
    </xf>
    <xf borderId="13" fillId="5" fontId="6" numFmtId="0" xfId="0" applyAlignment="1" applyBorder="1" applyFill="1" applyFont="1">
      <alignment readingOrder="0" vertical="center"/>
    </xf>
    <xf borderId="13" fillId="3" fontId="6" numFmtId="0" xfId="0" applyAlignment="1" applyBorder="1" applyFill="1" applyFont="1">
      <alignment readingOrder="0" vertical="center"/>
    </xf>
    <xf borderId="13" fillId="2" fontId="19" numFmtId="0" xfId="0" applyAlignment="1" applyBorder="1" applyFill="1" applyFont="1">
      <alignment horizontal="center" readingOrder="0" shrinkToFit="0" vertical="center" wrapText="1"/>
    </xf>
    <xf borderId="13" fillId="2" fontId="19" numFmtId="0" xfId="0" applyAlignment="1" applyBorder="1" applyFill="1" applyFont="1">
      <alignment horizontal="center" shrinkToFit="0" vertical="center" wrapText="1"/>
    </xf>
    <xf borderId="13" fillId="4" fontId="19" numFmtId="0" xfId="0" applyAlignment="1" applyBorder="1" applyFill="1" applyFont="1">
      <alignment horizontal="center" shrinkToFit="0" vertical="center" wrapText="1"/>
    </xf>
    <xf borderId="13" fillId="7" fontId="19" numFmtId="0" xfId="0" applyAlignment="1" applyBorder="1" applyFill="1" applyFont="1">
      <alignment horizontal="center" shrinkToFit="0" vertical="center" wrapText="1"/>
    </xf>
    <xf borderId="13" fillId="14" fontId="19" numFmtId="0" xfId="0" applyAlignment="1" applyBorder="1" applyFill="1" applyFont="1">
      <alignment horizontal="center" shrinkToFit="0" vertical="center" wrapText="1"/>
    </xf>
    <xf borderId="13" fillId="10" fontId="19" numFmtId="0" xfId="0" applyAlignment="1" applyBorder="1" applyFill="1" applyFont="1">
      <alignment horizontal="center" shrinkToFit="0" vertical="center" wrapText="1"/>
    </xf>
    <xf borderId="13" fillId="5" fontId="20" numFmtId="0" xfId="0" applyAlignment="1" applyBorder="1" applyFill="1" applyFont="1">
      <alignment horizontal="center" vertical="center"/>
    </xf>
    <xf borderId="13" fillId="5" fontId="4" numFmtId="0" xfId="0" applyAlignment="1" applyBorder="1" applyFill="1" applyFont="1">
      <alignment horizontal="center" vertical="center"/>
    </xf>
    <xf borderId="13" fillId="11" fontId="7" numFmtId="166" xfId="0" applyAlignment="1" applyBorder="1" applyFill="1" applyFont="1" applyNumberFormat="1">
      <alignment horizontal="center" vertical="center"/>
    </xf>
    <xf borderId="13" fillId="6" fontId="21" numFmtId="0" xfId="0" applyAlignment="1" applyBorder="1" applyFill="1" applyFont="1">
      <alignment horizontal="center" vertical="center"/>
    </xf>
    <xf borderId="13" fillId="12" fontId="22" numFmtId="0" xfId="0" applyAlignment="1" applyBorder="1" applyFill="1" applyFont="1">
      <alignment horizontal="center" vertical="center"/>
    </xf>
    <xf borderId="13" fillId="3" fontId="20" numFmtId="0" xfId="0" applyAlignment="1" applyBorder="1" applyFill="1" applyFont="1">
      <alignment horizontal="center" readingOrder="0" vertical="center"/>
    </xf>
    <xf borderId="13" fillId="3" fontId="20" numFmtId="0" xfId="0" applyAlignment="1" applyBorder="1" applyFill="1" applyFont="1">
      <alignment horizontal="center" vertical="center"/>
    </xf>
    <xf borderId="13" fillId="3" fontId="4" numFmtId="0" xfId="0" applyAlignment="1" applyBorder="1" applyFill="1" applyFont="1">
      <alignment horizontal="center" vertical="center"/>
    </xf>
    <xf borderId="13" fillId="5" fontId="20" numFmtId="0" xfId="0" applyAlignment="1" applyBorder="1" applyFill="1" applyFont="1">
      <alignment horizontal="center" readingOrder="0" vertical="center"/>
    </xf>
    <xf borderId="13" fillId="5" fontId="4" numFmtId="0" xfId="0" applyAlignment="1" applyBorder="1" applyFill="1" applyFont="1">
      <alignment horizontal="center" readingOrder="0" vertical="center"/>
    </xf>
    <xf borderId="13" fillId="3" fontId="4" numFmtId="167" xfId="0" applyAlignment="1" applyBorder="1" applyFill="1" applyFont="1" applyNumberFormat="1">
      <alignment horizontal="center" readingOrder="0" vertical="center"/>
    </xf>
    <xf borderId="13" fillId="5" fontId="4" numFmtId="167" xfId="0" applyAlignment="1" applyBorder="1" applyFill="1" applyFont="1" applyNumberFormat="1">
      <alignment horizontal="center" readingOrder="0" vertical="center"/>
    </xf>
    <xf borderId="13" fillId="3" fontId="4" numFmtId="167" xfId="0" applyAlignment="1" applyBorder="1" applyFill="1" applyFont="1" applyNumberFormat="1">
      <alignment horizontal="center" vertical="center"/>
    </xf>
    <xf borderId="1" fillId="14" fontId="23" numFmtId="0" xfId="0" applyAlignment="1" applyBorder="1" applyFill="1" applyFont="1">
      <alignment horizontal="left" vertical="center"/>
    </xf>
    <xf borderId="1" fillId="6" fontId="11" numFmtId="0" xfId="0" applyAlignment="1" applyBorder="1" applyFill="1" applyFont="1">
      <alignment horizontal="left" readingOrder="0" vertical="center"/>
    </xf>
    <xf borderId="1" fillId="10" fontId="23" numFmtId="0" xfId="0" applyAlignment="1" applyBorder="1" applyFill="1" applyFont="1">
      <alignment horizontal="left" vertical="center"/>
    </xf>
    <xf borderId="1" fillId="4" fontId="23" numFmtId="0" xfId="0" applyAlignment="1" applyBorder="1" applyFill="1" applyFont="1">
      <alignment horizontal="left" vertical="center"/>
    </xf>
    <xf borderId="1" fillId="11" fontId="11" numFmtId="0" xfId="0" applyAlignment="1" applyBorder="1" applyFill="1" applyFont="1">
      <alignment horizontal="left" readingOrder="0" vertical="center"/>
    </xf>
    <xf borderId="1" fillId="7" fontId="23" numFmtId="0" xfId="0" applyAlignment="1" applyBorder="1" applyFill="1" applyFont="1">
      <alignment horizontal="left" vertical="center"/>
    </xf>
    <xf borderId="13" fillId="7" fontId="19" numFmtId="0" xfId="0" applyAlignment="1" applyBorder="1" applyFill="1" applyFont="1">
      <alignment horizontal="left" vertical="center"/>
    </xf>
    <xf borderId="13" fillId="4" fontId="19" numFmtId="0" xfId="0" applyAlignment="1" applyBorder="1" applyFill="1" applyFont="1">
      <alignment horizontal="center" vertical="center"/>
    </xf>
    <xf borderId="13" fillId="9" fontId="19" numFmtId="0" xfId="0" applyAlignment="1" applyBorder="1" applyFill="1" applyFont="1">
      <alignment horizontal="center" vertical="center"/>
    </xf>
    <xf borderId="13" fillId="5" fontId="6" numFmtId="0" xfId="0" applyAlignment="1" applyBorder="1" applyFill="1" applyFont="1">
      <alignment horizontal="left" readingOrder="0" vertical="center"/>
    </xf>
    <xf borderId="13" fillId="5" fontId="24" numFmtId="0" xfId="0" applyAlignment="1" applyBorder="1" applyFill="1" applyFont="1">
      <alignment horizontal="center" readingOrder="0" vertical="center"/>
    </xf>
    <xf borderId="13" fillId="5" fontId="25" numFmtId="167" xfId="0" applyAlignment="1" applyBorder="1" applyFill="1" applyFont="1" applyNumberFormat="1">
      <alignment horizontal="center" readingOrder="0" vertical="center"/>
    </xf>
    <xf borderId="13" fillId="3" fontId="6" numFmtId="0" xfId="0" applyAlignment="1" applyBorder="1" applyFill="1" applyFont="1">
      <alignment horizontal="left" readingOrder="0" vertical="center"/>
    </xf>
    <xf borderId="13" fillId="3" fontId="24" numFmtId="0" xfId="0" applyAlignment="1" applyBorder="1" applyFill="1" applyFont="1">
      <alignment horizontal="center" readingOrder="0" vertical="center"/>
    </xf>
    <xf borderId="13" fillId="3" fontId="25" numFmtId="167" xfId="0" applyAlignment="1" applyBorder="1" applyFill="1" applyFont="1" applyNumberFormat="1">
      <alignment horizontal="center" readingOrder="0" vertical="center"/>
    </xf>
    <xf borderId="13" fillId="5" fontId="6" numFmtId="0" xfId="0" applyAlignment="1" applyBorder="1" applyFill="1" applyFont="1">
      <alignment horizontal="left" vertical="center"/>
    </xf>
    <xf borderId="13" fillId="5" fontId="24" numFmtId="0" xfId="0" applyAlignment="1" applyBorder="1" applyFill="1" applyFont="1">
      <alignment horizontal="center" vertical="center"/>
    </xf>
    <xf borderId="13" fillId="5" fontId="25" numFmtId="0" xfId="0" applyAlignment="1" applyBorder="1" applyFill="1" applyFont="1">
      <alignment horizontal="center" vertical="center"/>
    </xf>
    <xf borderId="13" fillId="3" fontId="6" numFmtId="0" xfId="0" applyAlignment="1" applyBorder="1" applyFill="1" applyFont="1">
      <alignment horizontal="left" vertical="center"/>
    </xf>
    <xf borderId="13" fillId="3" fontId="24" numFmtId="0" xfId="0" applyAlignment="1" applyBorder="1" applyFill="1" applyFont="1">
      <alignment horizontal="center" vertical="center"/>
    </xf>
    <xf borderId="13" fillId="3" fontId="25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Chart  Sprint 1 — SP Restantes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SP Restantes (Ideal)</c:v>
          </c:tx>
          <c:spPr>
            <a:ln cmpd="sng" w="19050">
              <a:solidFill>
                <a:srgbClr val="64748B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'📉 Burndown'!$C$4:$C$9</c:f>
            </c:strRef>
          </c:cat>
          <c:val>
            <c:numRef>
              <c:f>'📉 Burndown'!$E$4:$E$9</c:f>
              <c:numCache/>
            </c:numRef>
          </c:val>
          <c:smooth val="0"/>
        </c:ser>
        <c:ser>
          <c:idx val="1"/>
          <c:order val="1"/>
          <c:tx>
            <c:v>SP Restantes (Real)</c:v>
          </c:tx>
          <c:spPr>
            <a:ln cmpd="sng" w="19050">
              <a:solidFill>
                <a:srgbClr val="B5232A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'📉 Burndown'!$C$4:$C$9</c:f>
            </c:strRef>
          </c:cat>
          <c:val>
            <c:numRef>
              <c:f>'📉 Burndown'!$H$4:$H$9</c:f>
              <c:numCache/>
            </c:numRef>
          </c:val>
          <c:smooth val="0"/>
        </c:ser>
        <c:axId val="938356146"/>
        <c:axId val="89104920"/>
      </c:lineChart>
      <c:catAx>
        <c:axId val="9383561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Sesión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9104920"/>
      </c:catAx>
      <c:valAx>
        <c:axId val="891049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3835614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Burndown Chart Sprint 2 — SP Restantes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SP Restantes (Ideal)</c:v>
          </c:tx>
          <c:spPr>
            <a:ln cmpd="sng" w="19050">
              <a:solidFill>
                <a:srgbClr val="64748B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'📉 Burndown'!$C$11:$C$15</c:f>
            </c:strRef>
          </c:cat>
          <c:val>
            <c:numRef>
              <c:f>'📉 Burndown'!$E$11:$E$15</c:f>
              <c:numCache/>
            </c:numRef>
          </c:val>
          <c:smooth val="0"/>
        </c:ser>
        <c:ser>
          <c:idx val="1"/>
          <c:order val="1"/>
          <c:tx>
            <c:v>SP Restantes (Real)</c:v>
          </c:tx>
          <c:spPr>
            <a:ln cmpd="sng" w="19050">
              <a:solidFill>
                <a:srgbClr val="B5232A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'📉 Burndown'!$C$11:$C$15</c:f>
            </c:strRef>
          </c:cat>
          <c:val>
            <c:numRef>
              <c:f>'📉 Burndown'!$H$11:$H$15</c:f>
              <c:numCache/>
            </c:numRef>
          </c:val>
          <c:smooth val="0"/>
        </c:ser>
        <c:axId val="493793680"/>
        <c:axId val="1950876182"/>
      </c:lineChart>
      <c:catAx>
        <c:axId val="493793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Sesión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50876182"/>
      </c:catAx>
      <c:valAx>
        <c:axId val="1950876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9379368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561975</xdr:colOff>
      <xdr:row>16</xdr:row>
      <xdr:rowOff>66675</xdr:rowOff>
    </xdr:from>
    <xdr:ext cx="5791200" cy="3209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561975</xdr:colOff>
      <xdr:row>33</xdr:row>
      <xdr:rowOff>104775</xdr:rowOff>
    </xdr:from>
    <xdr:ext cx="5791200" cy="3209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3.86"/>
    <col customWidth="1" min="3" max="3" width="22.0"/>
    <col customWidth="1" min="4" max="4" width="28.57"/>
    <col customWidth="1" min="5" max="5" width="3.0"/>
    <col customWidth="1" min="6" max="26" width="8.71"/>
  </cols>
  <sheetData>
    <row r="1">
      <c r="A1" s="1"/>
      <c r="B1" s="2" t="s">
        <v>0</v>
      </c>
      <c r="C1" s="3"/>
      <c r="D1" s="4"/>
    </row>
    <row r="2">
      <c r="B2" s="5" t="s">
        <v>1</v>
      </c>
      <c r="C2" s="3"/>
      <c r="D2" s="4"/>
    </row>
    <row r="3">
      <c r="B3" s="6" t="s">
        <v>2</v>
      </c>
      <c r="C3" s="3"/>
      <c r="D3" s="4"/>
    </row>
    <row r="4" ht="19.5" customHeight="1">
      <c r="B4" s="7" t="s">
        <v>3</v>
      </c>
      <c r="C4" s="8" t="s">
        <v>4</v>
      </c>
      <c r="D4" s="9" t="s">
        <v>5</v>
      </c>
    </row>
    <row r="5" ht="19.5" customHeight="1">
      <c r="B5" s="7" t="s">
        <v>6</v>
      </c>
      <c r="C5" s="8">
        <v>1.0</v>
      </c>
      <c r="D5" s="9" t="s">
        <v>7</v>
      </c>
    </row>
    <row r="6" ht="19.5" customHeight="1">
      <c r="B6" s="7" t="s">
        <v>8</v>
      </c>
      <c r="C6" s="8" t="s">
        <v>9</v>
      </c>
      <c r="D6" s="9" t="s">
        <v>10</v>
      </c>
    </row>
    <row r="7" ht="19.5" customHeight="1">
      <c r="B7" s="7" t="s">
        <v>11</v>
      </c>
      <c r="C7" s="10">
        <v>46265.0</v>
      </c>
      <c r="D7" s="9" t="s">
        <v>12</v>
      </c>
    </row>
    <row r="8" ht="19.5" customHeight="1">
      <c r="B8" s="7" t="s">
        <v>13</v>
      </c>
      <c r="C8" s="10">
        <v>46282.0</v>
      </c>
      <c r="D8" s="9" t="s">
        <v>12</v>
      </c>
    </row>
    <row r="9" ht="19.5" customHeight="1">
      <c r="B9" s="7" t="s">
        <v>14</v>
      </c>
      <c r="C9" s="8">
        <v>6.0</v>
      </c>
      <c r="D9" s="9" t="s">
        <v>15</v>
      </c>
    </row>
    <row r="10" ht="19.5" customHeight="1">
      <c r="B10" s="7" t="s">
        <v>16</v>
      </c>
      <c r="C10" s="8">
        <f>'📋 Sprint 1 Backlog'!E14</f>
        <v>15</v>
      </c>
      <c r="D10" s="9" t="s">
        <v>17</v>
      </c>
    </row>
    <row r="11" ht="19.5" customHeight="1">
      <c r="B11" s="7" t="s">
        <v>18</v>
      </c>
      <c r="C11" s="8">
        <v>0.0</v>
      </c>
      <c r="D11" s="9" t="s">
        <v>19</v>
      </c>
    </row>
    <row r="12" ht="19.5" customHeight="1">
      <c r="B12" s="7" t="s">
        <v>20</v>
      </c>
      <c r="C12" s="11">
        <v>6.0</v>
      </c>
      <c r="D12" s="9" t="s">
        <v>21</v>
      </c>
    </row>
    <row r="13">
      <c r="B13" s="6" t="s">
        <v>22</v>
      </c>
      <c r="C13" s="3"/>
      <c r="D13" s="4"/>
    </row>
    <row r="14">
      <c r="B14" s="12" t="s">
        <v>23</v>
      </c>
      <c r="C14" s="3"/>
      <c r="D14" s="4"/>
    </row>
    <row r="15">
      <c r="B15" s="12" t="s">
        <v>24</v>
      </c>
      <c r="C15" s="3"/>
      <c r="D15" s="4"/>
    </row>
    <row r="16">
      <c r="B16" s="12" t="s">
        <v>25</v>
      </c>
      <c r="C16" s="3"/>
      <c r="D16" s="4"/>
    </row>
    <row r="17">
      <c r="B17" s="12" t="s">
        <v>26</v>
      </c>
      <c r="C17" s="3"/>
      <c r="D17" s="4"/>
    </row>
    <row r="18">
      <c r="B18" s="12" t="s">
        <v>27</v>
      </c>
      <c r="C18" s="3"/>
      <c r="D18" s="4"/>
    </row>
    <row r="19">
      <c r="B19" s="13" t="s">
        <v>28</v>
      </c>
      <c r="C19" s="3"/>
      <c r="D19" s="4"/>
    </row>
    <row r="20" ht="24.0" customHeight="1">
      <c r="B20" s="14" t="s">
        <v>29</v>
      </c>
      <c r="C20" s="15"/>
      <c r="D20" s="16"/>
    </row>
    <row r="21" ht="29.25" customHeight="1">
      <c r="B21" s="17"/>
      <c r="D21" s="18"/>
    </row>
    <row r="22" ht="31.5" customHeight="1">
      <c r="B22" s="17"/>
      <c r="D22" s="18"/>
    </row>
    <row r="23" ht="33.75" customHeight="1">
      <c r="B23" s="19"/>
      <c r="C23" s="20"/>
      <c r="D23" s="2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17:D17"/>
    <mergeCell ref="B18:D18"/>
    <mergeCell ref="B19:D19"/>
    <mergeCell ref="B20:D23"/>
    <mergeCell ref="B1:D1"/>
    <mergeCell ref="B2:D2"/>
    <mergeCell ref="B3:D3"/>
    <mergeCell ref="B13:D13"/>
    <mergeCell ref="B14:D14"/>
    <mergeCell ref="B15:D15"/>
    <mergeCell ref="B16:D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.0"/>
    <col customWidth="1" min="2" max="2" width="9.0"/>
    <col customWidth="1" min="3" max="3" width="74.43"/>
    <col customWidth="1" min="4" max="4" width="14.29"/>
    <col customWidth="1" min="5" max="5" width="14.86"/>
    <col customWidth="1" min="6" max="6" width="17.86"/>
    <col customWidth="1" min="7" max="7" width="14.43"/>
    <col customWidth="1" min="8" max="8" width="10.29"/>
    <col customWidth="1" min="9" max="26" width="8.71"/>
  </cols>
  <sheetData>
    <row r="1">
      <c r="B1" s="22" t="s">
        <v>30</v>
      </c>
      <c r="C1" s="3"/>
      <c r="D1" s="3"/>
      <c r="E1" s="3"/>
      <c r="F1" s="3"/>
      <c r="G1" s="3"/>
      <c r="H1" s="4"/>
    </row>
    <row r="2">
      <c r="B2" s="5" t="s">
        <v>31</v>
      </c>
      <c r="C2" s="3"/>
      <c r="D2" s="3"/>
      <c r="E2" s="3"/>
      <c r="F2" s="3"/>
      <c r="G2" s="3"/>
      <c r="H2" s="4"/>
    </row>
    <row r="3" ht="25.5" customHeight="1">
      <c r="B3" s="23" t="s">
        <v>32</v>
      </c>
      <c r="C3" s="23" t="s">
        <v>33</v>
      </c>
      <c r="D3" s="23" t="s">
        <v>34</v>
      </c>
      <c r="E3" s="24" t="s">
        <v>35</v>
      </c>
      <c r="F3" s="25" t="s">
        <v>36</v>
      </c>
      <c r="G3" s="26" t="s">
        <v>37</v>
      </c>
      <c r="H3" s="27" t="s">
        <v>38</v>
      </c>
    </row>
    <row r="4" ht="30.0" customHeight="1">
      <c r="B4" s="28" t="s">
        <v>39</v>
      </c>
      <c r="C4" s="29" t="s">
        <v>40</v>
      </c>
      <c r="D4" s="30" t="s">
        <v>41</v>
      </c>
      <c r="E4" s="31">
        <v>2.0</v>
      </c>
      <c r="F4" s="32">
        <v>2.0</v>
      </c>
      <c r="G4" s="33" t="s">
        <v>42</v>
      </c>
      <c r="H4" s="34" t="s">
        <v>43</v>
      </c>
    </row>
    <row r="5" ht="30.0" customHeight="1">
      <c r="B5" s="35" t="s">
        <v>44</v>
      </c>
      <c r="C5" s="36" t="s">
        <v>45</v>
      </c>
      <c r="D5" s="37" t="s">
        <v>46</v>
      </c>
      <c r="E5" s="31">
        <v>2.0</v>
      </c>
      <c r="F5" s="32">
        <v>2.0</v>
      </c>
      <c r="G5" s="33" t="s">
        <v>42</v>
      </c>
      <c r="H5" s="34" t="s">
        <v>43</v>
      </c>
    </row>
    <row r="6" ht="30.0" customHeight="1">
      <c r="B6" s="28" t="s">
        <v>47</v>
      </c>
      <c r="C6" s="29" t="s">
        <v>48</v>
      </c>
      <c r="D6" s="30" t="s">
        <v>41</v>
      </c>
      <c r="E6" s="31">
        <v>2.0</v>
      </c>
      <c r="F6" s="32">
        <v>2.0</v>
      </c>
      <c r="G6" s="33" t="s">
        <v>42</v>
      </c>
      <c r="H6" s="38" t="s">
        <v>49</v>
      </c>
    </row>
    <row r="7" ht="30.0" customHeight="1">
      <c r="B7" s="35" t="s">
        <v>50</v>
      </c>
      <c r="C7" s="36" t="s">
        <v>51</v>
      </c>
      <c r="D7" s="37" t="s">
        <v>52</v>
      </c>
      <c r="E7" s="31">
        <v>2.0</v>
      </c>
      <c r="F7" s="32">
        <v>2.0</v>
      </c>
      <c r="G7" s="33" t="s">
        <v>42</v>
      </c>
      <c r="H7" s="38" t="s">
        <v>49</v>
      </c>
    </row>
    <row r="8" ht="30.0" customHeight="1">
      <c r="B8" s="39" t="s">
        <v>53</v>
      </c>
      <c r="C8" s="40" t="s">
        <v>54</v>
      </c>
      <c r="D8" s="30" t="s">
        <v>55</v>
      </c>
      <c r="E8" s="41">
        <v>5.0</v>
      </c>
      <c r="F8" s="32">
        <v>5.0</v>
      </c>
      <c r="G8" s="33" t="s">
        <v>42</v>
      </c>
      <c r="H8" s="34" t="s">
        <v>43</v>
      </c>
    </row>
    <row r="9" ht="30.0" customHeight="1">
      <c r="B9" s="42" t="s">
        <v>56</v>
      </c>
      <c r="C9" s="43" t="s">
        <v>57</v>
      </c>
      <c r="D9" s="37" t="s">
        <v>58</v>
      </c>
      <c r="E9" s="41">
        <v>2.0</v>
      </c>
      <c r="F9" s="32">
        <v>2.0</v>
      </c>
      <c r="G9" s="33" t="s">
        <v>42</v>
      </c>
      <c r="H9" s="34" t="s">
        <v>43</v>
      </c>
    </row>
    <row r="10" ht="30.0" customHeight="1">
      <c r="B10" s="44"/>
      <c r="C10" s="44"/>
      <c r="D10" s="44"/>
      <c r="E10" s="44"/>
      <c r="F10" s="44"/>
      <c r="G10" s="44"/>
      <c r="H10" s="44"/>
    </row>
    <row r="11" ht="30.0" customHeight="1">
      <c r="B11" s="45"/>
      <c r="C11" s="45"/>
      <c r="D11" s="45"/>
      <c r="E11" s="45"/>
      <c r="F11" s="45"/>
      <c r="G11" s="45"/>
      <c r="H11" s="45"/>
    </row>
    <row r="12" ht="30.0" customHeight="1">
      <c r="B12" s="44"/>
      <c r="C12" s="44"/>
      <c r="D12" s="44"/>
      <c r="E12" s="44"/>
      <c r="F12" s="44"/>
      <c r="G12" s="44"/>
      <c r="H12" s="44"/>
    </row>
    <row r="13" ht="30.0" customHeight="1">
      <c r="B13" s="45"/>
      <c r="C13" s="45"/>
      <c r="D13" s="45"/>
      <c r="E13" s="45"/>
      <c r="F13" s="45"/>
      <c r="G13" s="45"/>
      <c r="H13" s="45"/>
    </row>
    <row r="14">
      <c r="B14" s="46" t="s">
        <v>59</v>
      </c>
      <c r="C14" s="3"/>
      <c r="D14" s="4"/>
      <c r="E14" s="47">
        <f t="shared" ref="E14:F14" si="1">SUM(E4:E13)</f>
        <v>15</v>
      </c>
      <c r="F14" s="48">
        <f t="shared" si="1"/>
        <v>15</v>
      </c>
      <c r="G14" s="49">
        <f>IFERROR(F14/E14,0)</f>
        <v>1</v>
      </c>
      <c r="H14" s="50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B1:H1"/>
    <mergeCell ref="B2:H2"/>
    <mergeCell ref="B14:D1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6.71"/>
    <col customWidth="1" min="3" max="3" width="8.0"/>
    <col customWidth="1" min="4" max="4" width="56.14"/>
    <col customWidth="1" min="5" max="5" width="20.0"/>
    <col customWidth="1" min="6" max="6" width="3.0"/>
    <col customWidth="1" min="7" max="26" width="8.71"/>
  </cols>
  <sheetData>
    <row r="1">
      <c r="B1" s="2" t="s">
        <v>60</v>
      </c>
      <c r="C1" s="3"/>
      <c r="D1" s="3"/>
      <c r="E1" s="4"/>
    </row>
    <row r="2">
      <c r="B2" s="5" t="s">
        <v>61</v>
      </c>
      <c r="C2" s="3"/>
      <c r="D2" s="3"/>
      <c r="E2" s="4"/>
    </row>
    <row r="3">
      <c r="B3" s="6" t="s">
        <v>62</v>
      </c>
      <c r="C3" s="3"/>
      <c r="D3" s="3"/>
      <c r="E3" s="4"/>
    </row>
    <row r="4">
      <c r="B4" s="51" t="s">
        <v>63</v>
      </c>
      <c r="C4" s="52">
        <f>'📋 Sprint 1 Backlog'!E14</f>
        <v>15</v>
      </c>
      <c r="D4" s="53" t="s">
        <v>64</v>
      </c>
      <c r="E4" s="54"/>
    </row>
    <row r="5">
      <c r="B5" s="7" t="s">
        <v>65</v>
      </c>
      <c r="C5" s="52">
        <f>'📋 Sprint 1 Backlog'!F14</f>
        <v>15</v>
      </c>
      <c r="D5" s="9" t="s">
        <v>66</v>
      </c>
      <c r="E5" s="55"/>
    </row>
    <row r="6">
      <c r="B6" s="51" t="s">
        <v>67</v>
      </c>
      <c r="C6" s="52">
        <f>'📋 Sprint 1 Backlog'!E14-'📋 Sprint 1 Backlog'!F14</f>
        <v>0</v>
      </c>
      <c r="D6" s="53" t="s">
        <v>68</v>
      </c>
      <c r="E6" s="54"/>
    </row>
    <row r="7">
      <c r="B7" s="7" t="s">
        <v>69</v>
      </c>
      <c r="C7" s="56">
        <f>IFERROR('📋 Sprint 1 Backlog'!F14/'📋 Sprint 1 Backlog'!E14,0)</f>
        <v>1</v>
      </c>
      <c r="D7" s="9" t="s">
        <v>70</v>
      </c>
      <c r="E7" s="55"/>
    </row>
    <row r="8">
      <c r="B8" s="51" t="s">
        <v>71</v>
      </c>
      <c r="C8" s="52">
        <f>COUNTIF('📋 Sprint 1 Backlog'!G4:G13,"✅ Done")</f>
        <v>6</v>
      </c>
      <c r="D8" s="53" t="s">
        <v>72</v>
      </c>
      <c r="E8" s="54"/>
    </row>
    <row r="9">
      <c r="B9" s="7" t="s">
        <v>73</v>
      </c>
      <c r="C9" s="52">
        <f>COUNTIF('📋 Sprint 1 Backlog'!G4:G13,"🔄 In Progress")</f>
        <v>0</v>
      </c>
      <c r="D9" s="9" t="s">
        <v>74</v>
      </c>
      <c r="E9" s="55"/>
    </row>
    <row r="10">
      <c r="B10" s="13" t="s">
        <v>75</v>
      </c>
      <c r="C10" s="3"/>
      <c r="D10" s="3"/>
      <c r="E10" s="4"/>
    </row>
    <row r="11">
      <c r="B11" s="7" t="s">
        <v>76</v>
      </c>
      <c r="C11" s="52">
        <f>'📋 Sprint 1 Backlog'!F14</f>
        <v>15</v>
      </c>
      <c r="D11" s="9" t="s">
        <v>77</v>
      </c>
      <c r="E11" s="55"/>
    </row>
    <row r="12">
      <c r="B12" s="51" t="s">
        <v>18</v>
      </c>
      <c r="C12" s="52">
        <f>'⚙ Configuración Sprint 1'!C11</f>
        <v>0</v>
      </c>
      <c r="D12" s="53" t="s">
        <v>78</v>
      </c>
      <c r="E12" s="54"/>
    </row>
    <row r="13">
      <c r="B13" s="7" t="s">
        <v>79</v>
      </c>
      <c r="C13" s="57">
        <f>'📋 Sprint 1 Backlog'!F14-'⚙ Configuración Sprint 1'!C11</f>
        <v>15</v>
      </c>
      <c r="D13" s="9" t="s">
        <v>80</v>
      </c>
      <c r="E13" s="55"/>
    </row>
    <row r="14">
      <c r="B14" s="51" t="s">
        <v>81</v>
      </c>
      <c r="C14" s="58">
        <f>IFERROR('📋 Sprint 1 Backlog'!F14/'⚙ Configuración Sprint 1'!C12,0)</f>
        <v>2.5</v>
      </c>
      <c r="D14" s="53" t="s">
        <v>82</v>
      </c>
      <c r="E14" s="54"/>
    </row>
    <row r="15">
      <c r="B15" s="7" t="s">
        <v>83</v>
      </c>
      <c r="C15" s="59">
        <f>IFERROR('📋 Sprint 1 Backlog'!F14/('⚙ Configuración Sprint 1'!C12*'⚙ Configuración Sprint 1'!C9),0)</f>
        <v>0.4166666667</v>
      </c>
      <c r="D15" s="9" t="s">
        <v>84</v>
      </c>
      <c r="E15" s="55"/>
    </row>
    <row r="16">
      <c r="B16" s="60" t="s">
        <v>85</v>
      </c>
      <c r="C16" s="3"/>
      <c r="D16" s="3"/>
      <c r="E16" s="4"/>
    </row>
    <row r="17">
      <c r="B17" s="7" t="s">
        <v>86</v>
      </c>
      <c r="C17" s="61">
        <v>6.0</v>
      </c>
      <c r="D17" s="9" t="s">
        <v>87</v>
      </c>
      <c r="E17" s="55"/>
    </row>
    <row r="18">
      <c r="B18" s="51" t="s">
        <v>88</v>
      </c>
      <c r="C18" s="52">
        <f>'⚙ Configuración Sprint 1'!C9-C17</f>
        <v>0</v>
      </c>
      <c r="D18" s="53" t="s">
        <v>89</v>
      </c>
      <c r="E18" s="54"/>
    </row>
    <row r="19">
      <c r="B19" s="7" t="s">
        <v>90</v>
      </c>
      <c r="C19" s="58" t="str">
        <f>IF(C18&lt;=0,"Sprint terminado",('📋 Sprint 1 Backlog'!E14-'📋 Sprint 1 Backlog'!F14)/C18)</f>
        <v>Sprint terminado</v>
      </c>
      <c r="D19" s="9" t="s">
        <v>91</v>
      </c>
      <c r="E19" s="55"/>
    </row>
    <row r="20">
      <c r="B20" s="51" t="s">
        <v>92</v>
      </c>
      <c r="C20" s="58">
        <f>IF(C17=0,0,'📋 Sprint 1 Backlog'!F14/C17)</f>
        <v>2.5</v>
      </c>
      <c r="D20" s="53" t="s">
        <v>93</v>
      </c>
      <c r="E20" s="54"/>
    </row>
    <row r="21" ht="15.75" customHeight="1">
      <c r="B21" s="7" t="s">
        <v>94</v>
      </c>
      <c r="C21" s="59">
        <f>IF(C17=0,1,C20/IFERROR(('⚙ Configuración Sprint 1'!C10/'⚙ Configuración Sprint 1'!C9),1))</f>
        <v>1</v>
      </c>
      <c r="D21" s="9" t="s">
        <v>95</v>
      </c>
      <c r="E21" s="55"/>
    </row>
    <row r="22" ht="15.75" customHeight="1">
      <c r="B22" s="62" t="s">
        <v>96</v>
      </c>
      <c r="C22" s="3"/>
      <c r="D22" s="3"/>
      <c r="E22" s="4"/>
    </row>
    <row r="23" ht="15.75" customHeight="1">
      <c r="B23" s="63" t="s">
        <v>97</v>
      </c>
      <c r="C23" s="64" t="s">
        <v>98</v>
      </c>
      <c r="D23" s="3"/>
      <c r="E23" s="4"/>
    </row>
    <row r="24" ht="15.75" customHeight="1">
      <c r="B24" s="65" t="s">
        <v>99</v>
      </c>
      <c r="C24" s="66" t="s">
        <v>100</v>
      </c>
      <c r="D24" s="3"/>
      <c r="E24" s="4"/>
    </row>
    <row r="25" ht="15.75" customHeight="1">
      <c r="B25" s="67" t="s">
        <v>101</v>
      </c>
      <c r="C25" s="68" t="s">
        <v>102</v>
      </c>
      <c r="D25" s="3"/>
      <c r="E25" s="4"/>
    </row>
    <row r="26" ht="15.75" customHeight="1">
      <c r="B26" s="69" t="s">
        <v>103</v>
      </c>
      <c r="C26" s="70" t="s">
        <v>104</v>
      </c>
      <c r="D26" s="3"/>
      <c r="E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24:E24"/>
    <mergeCell ref="C25:E25"/>
    <mergeCell ref="C26:E26"/>
    <mergeCell ref="B1:E1"/>
    <mergeCell ref="B2:E2"/>
    <mergeCell ref="B3:E3"/>
    <mergeCell ref="B10:E10"/>
    <mergeCell ref="B16:E16"/>
    <mergeCell ref="B22:E22"/>
    <mergeCell ref="C23:E2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3.86"/>
    <col customWidth="1" min="3" max="3" width="22.0"/>
    <col customWidth="1" min="4" max="4" width="28.57"/>
    <col customWidth="1" min="5" max="5" width="3.0"/>
    <col customWidth="1" min="6" max="26" width="8.71"/>
  </cols>
  <sheetData>
    <row r="1">
      <c r="A1" s="1"/>
      <c r="B1" s="2" t="s">
        <v>0</v>
      </c>
      <c r="C1" s="3"/>
      <c r="D1" s="4"/>
    </row>
    <row r="2">
      <c r="B2" s="5" t="s">
        <v>1</v>
      </c>
      <c r="C2" s="3"/>
      <c r="D2" s="4"/>
    </row>
    <row r="3">
      <c r="B3" s="6" t="s">
        <v>2</v>
      </c>
      <c r="C3" s="3"/>
      <c r="D3" s="4"/>
    </row>
    <row r="4" ht="19.5" customHeight="1">
      <c r="B4" s="7" t="s">
        <v>3</v>
      </c>
      <c r="C4" s="8" t="s">
        <v>4</v>
      </c>
      <c r="D4" s="9" t="s">
        <v>5</v>
      </c>
    </row>
    <row r="5" ht="19.5" customHeight="1">
      <c r="B5" s="7" t="s">
        <v>6</v>
      </c>
      <c r="C5" s="11">
        <v>2.0</v>
      </c>
      <c r="D5" s="9" t="s">
        <v>7</v>
      </c>
    </row>
    <row r="6" ht="19.5" customHeight="1">
      <c r="B6" s="7" t="s">
        <v>8</v>
      </c>
      <c r="C6" s="8" t="s">
        <v>9</v>
      </c>
      <c r="D6" s="9" t="s">
        <v>10</v>
      </c>
    </row>
    <row r="7" ht="19.5" customHeight="1">
      <c r="B7" s="7" t="s">
        <v>11</v>
      </c>
      <c r="C7" s="71">
        <v>46286.0</v>
      </c>
      <c r="D7" s="9" t="s">
        <v>12</v>
      </c>
    </row>
    <row r="8" ht="19.5" customHeight="1">
      <c r="B8" s="7" t="s">
        <v>13</v>
      </c>
      <c r="C8" s="71">
        <v>46303.0</v>
      </c>
      <c r="D8" s="9" t="s">
        <v>12</v>
      </c>
    </row>
    <row r="9" ht="19.5" customHeight="1">
      <c r="B9" s="7" t="s">
        <v>14</v>
      </c>
      <c r="C9" s="11">
        <v>5.0</v>
      </c>
      <c r="D9" s="9" t="s">
        <v>15</v>
      </c>
    </row>
    <row r="10" ht="19.5" customHeight="1">
      <c r="B10" s="7" t="s">
        <v>16</v>
      </c>
      <c r="C10" s="8">
        <f>'📋 Sprint 2 Backlog'!E14</f>
        <v>13</v>
      </c>
      <c r="D10" s="9" t="s">
        <v>17</v>
      </c>
    </row>
    <row r="11" ht="19.5" customHeight="1">
      <c r="B11" s="7" t="s">
        <v>18</v>
      </c>
      <c r="C11" s="11">
        <v>15.0</v>
      </c>
      <c r="D11" s="9" t="s">
        <v>19</v>
      </c>
    </row>
    <row r="12" ht="19.5" customHeight="1">
      <c r="B12" s="7" t="s">
        <v>20</v>
      </c>
      <c r="C12" s="11">
        <v>6.0</v>
      </c>
      <c r="D12" s="9" t="s">
        <v>21</v>
      </c>
    </row>
    <row r="13">
      <c r="B13" s="6" t="s">
        <v>22</v>
      </c>
      <c r="C13" s="3"/>
      <c r="D13" s="4"/>
    </row>
    <row r="14">
      <c r="B14" s="12" t="s">
        <v>23</v>
      </c>
      <c r="C14" s="3"/>
      <c r="D14" s="4"/>
    </row>
    <row r="15">
      <c r="B15" s="12" t="s">
        <v>24</v>
      </c>
      <c r="C15" s="3"/>
      <c r="D15" s="4"/>
    </row>
    <row r="16">
      <c r="B16" s="12" t="s">
        <v>25</v>
      </c>
      <c r="C16" s="3"/>
      <c r="D16" s="4"/>
    </row>
    <row r="17">
      <c r="B17" s="12" t="s">
        <v>26</v>
      </c>
      <c r="C17" s="3"/>
      <c r="D17" s="4"/>
    </row>
    <row r="18">
      <c r="B18" s="12" t="s">
        <v>27</v>
      </c>
      <c r="C18" s="3"/>
      <c r="D18" s="4"/>
    </row>
    <row r="19">
      <c r="B19" s="13" t="s">
        <v>28</v>
      </c>
      <c r="C19" s="3"/>
      <c r="D19" s="4"/>
    </row>
    <row r="20" ht="24.0" customHeight="1">
      <c r="B20" s="14" t="s">
        <v>29</v>
      </c>
      <c r="C20" s="15"/>
      <c r="D20" s="16"/>
    </row>
    <row r="21" ht="29.25" customHeight="1">
      <c r="B21" s="17"/>
      <c r="D21" s="18"/>
    </row>
    <row r="22" ht="31.5" customHeight="1">
      <c r="B22" s="17"/>
      <c r="D22" s="18"/>
    </row>
    <row r="23" ht="33.75" customHeight="1">
      <c r="B23" s="19"/>
      <c r="C23" s="20"/>
      <c r="D23" s="2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17:D17"/>
    <mergeCell ref="B18:D18"/>
    <mergeCell ref="B19:D19"/>
    <mergeCell ref="B20:D23"/>
    <mergeCell ref="B1:D1"/>
    <mergeCell ref="B2:D2"/>
    <mergeCell ref="B3:D3"/>
    <mergeCell ref="B13:D13"/>
    <mergeCell ref="B14:D14"/>
    <mergeCell ref="B15:D15"/>
    <mergeCell ref="B16:D1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.0"/>
    <col customWidth="1" min="2" max="2" width="9.0"/>
    <col customWidth="1" min="3" max="3" width="74.43"/>
    <col customWidth="1" min="4" max="4" width="14.29"/>
    <col customWidth="1" min="5" max="5" width="14.86"/>
    <col customWidth="1" min="6" max="6" width="17.86"/>
    <col customWidth="1" min="7" max="7" width="14.43"/>
    <col customWidth="1" min="8" max="8" width="10.29"/>
    <col customWidth="1" min="9" max="26" width="8.71"/>
  </cols>
  <sheetData>
    <row r="1">
      <c r="B1" s="22" t="s">
        <v>105</v>
      </c>
      <c r="C1" s="3"/>
      <c r="D1" s="3"/>
      <c r="E1" s="3"/>
      <c r="F1" s="3"/>
      <c r="G1" s="3"/>
      <c r="H1" s="4"/>
    </row>
    <row r="2">
      <c r="B2" s="5" t="s">
        <v>31</v>
      </c>
      <c r="C2" s="3"/>
      <c r="D2" s="3"/>
      <c r="E2" s="3"/>
      <c r="F2" s="3"/>
      <c r="G2" s="3"/>
      <c r="H2" s="4"/>
    </row>
    <row r="3" ht="25.5" customHeight="1">
      <c r="B3" s="23" t="s">
        <v>32</v>
      </c>
      <c r="C3" s="23" t="s">
        <v>33</v>
      </c>
      <c r="D3" s="23" t="s">
        <v>34</v>
      </c>
      <c r="E3" s="24" t="s">
        <v>35</v>
      </c>
      <c r="F3" s="25" t="s">
        <v>36</v>
      </c>
      <c r="G3" s="26" t="s">
        <v>37</v>
      </c>
      <c r="H3" s="27" t="s">
        <v>38</v>
      </c>
    </row>
    <row r="4" ht="30.0" customHeight="1">
      <c r="B4" s="28" t="s">
        <v>106</v>
      </c>
      <c r="C4" s="29" t="s">
        <v>107</v>
      </c>
      <c r="D4" s="30" t="s">
        <v>108</v>
      </c>
      <c r="E4" s="31">
        <v>2.0</v>
      </c>
      <c r="F4" s="32">
        <v>2.0</v>
      </c>
      <c r="G4" s="33" t="s">
        <v>42</v>
      </c>
      <c r="H4" s="34" t="s">
        <v>43</v>
      </c>
    </row>
    <row r="5" ht="30.0" customHeight="1">
      <c r="B5" s="35" t="s">
        <v>109</v>
      </c>
      <c r="C5" s="36" t="s">
        <v>110</v>
      </c>
      <c r="D5" s="37" t="s">
        <v>111</v>
      </c>
      <c r="E5" s="31">
        <v>2.0</v>
      </c>
      <c r="F5" s="32">
        <v>2.0</v>
      </c>
      <c r="G5" s="33" t="s">
        <v>42</v>
      </c>
      <c r="H5" s="34" t="s">
        <v>43</v>
      </c>
    </row>
    <row r="6" ht="30.0" customHeight="1">
      <c r="B6" s="28" t="s">
        <v>112</v>
      </c>
      <c r="C6" s="29" t="s">
        <v>113</v>
      </c>
      <c r="D6" s="30" t="s">
        <v>108</v>
      </c>
      <c r="E6" s="31">
        <v>2.0</v>
      </c>
      <c r="F6" s="32">
        <v>2.0</v>
      </c>
      <c r="G6" s="33" t="s">
        <v>42</v>
      </c>
      <c r="H6" s="72" t="s">
        <v>43</v>
      </c>
    </row>
    <row r="7" ht="30.0" customHeight="1">
      <c r="B7" s="35" t="s">
        <v>114</v>
      </c>
      <c r="C7" s="36" t="s">
        <v>115</v>
      </c>
      <c r="D7" s="37" t="s">
        <v>111</v>
      </c>
      <c r="E7" s="31">
        <v>2.0</v>
      </c>
      <c r="F7" s="32">
        <v>2.0</v>
      </c>
      <c r="G7" s="33" t="s">
        <v>42</v>
      </c>
      <c r="H7" s="72" t="s">
        <v>43</v>
      </c>
    </row>
    <row r="8" ht="30.0" customHeight="1">
      <c r="B8" s="28" t="s">
        <v>116</v>
      </c>
      <c r="C8" s="29" t="s">
        <v>117</v>
      </c>
      <c r="D8" s="30" t="s">
        <v>111</v>
      </c>
      <c r="E8" s="31">
        <v>2.0</v>
      </c>
      <c r="F8" s="32">
        <v>2.0</v>
      </c>
      <c r="G8" s="33" t="s">
        <v>42</v>
      </c>
      <c r="H8" s="72" t="s">
        <v>43</v>
      </c>
    </row>
    <row r="9" ht="30.0" customHeight="1">
      <c r="B9" s="35" t="s">
        <v>118</v>
      </c>
      <c r="C9" s="36" t="s">
        <v>119</v>
      </c>
      <c r="D9" s="37" t="s">
        <v>108</v>
      </c>
      <c r="E9" s="31">
        <v>1.0</v>
      </c>
      <c r="F9" s="32">
        <v>0.5</v>
      </c>
      <c r="G9" s="33" t="s">
        <v>120</v>
      </c>
      <c r="H9" s="38" t="s">
        <v>49</v>
      </c>
    </row>
    <row r="10" ht="30.0" customHeight="1">
      <c r="B10" s="35" t="s">
        <v>121</v>
      </c>
      <c r="C10" s="73" t="s">
        <v>122</v>
      </c>
      <c r="D10" s="37" t="s">
        <v>123</v>
      </c>
      <c r="E10" s="31">
        <v>1.0</v>
      </c>
      <c r="F10" s="32">
        <v>0.5</v>
      </c>
      <c r="G10" s="33" t="s">
        <v>120</v>
      </c>
      <c r="H10" s="38" t="s">
        <v>49</v>
      </c>
    </row>
    <row r="11" ht="30.0" customHeight="1">
      <c r="B11" s="35" t="s">
        <v>124</v>
      </c>
      <c r="C11" s="74" t="s">
        <v>125</v>
      </c>
      <c r="D11" s="37" t="s">
        <v>123</v>
      </c>
      <c r="E11" s="31">
        <v>1.0</v>
      </c>
      <c r="F11" s="32">
        <v>1.0</v>
      </c>
      <c r="G11" s="33" t="s">
        <v>42</v>
      </c>
      <c r="H11" s="38" t="s">
        <v>49</v>
      </c>
    </row>
    <row r="12" ht="30.0" customHeight="1">
      <c r="B12" s="44"/>
      <c r="C12" s="44"/>
      <c r="D12" s="44"/>
      <c r="E12" s="44"/>
      <c r="F12" s="44"/>
      <c r="G12" s="44"/>
      <c r="H12" s="44"/>
    </row>
    <row r="13" ht="30.0" customHeight="1">
      <c r="B13" s="45"/>
      <c r="C13" s="45"/>
      <c r="D13" s="45"/>
      <c r="E13" s="45"/>
      <c r="F13" s="45"/>
      <c r="G13" s="45"/>
      <c r="H13" s="45"/>
    </row>
    <row r="14">
      <c r="B14" s="46" t="s">
        <v>59</v>
      </c>
      <c r="C14" s="3"/>
      <c r="D14" s="4"/>
      <c r="E14" s="47">
        <f t="shared" ref="E14:F14" si="1">SUM(E4:E13)</f>
        <v>13</v>
      </c>
      <c r="F14" s="48">
        <f t="shared" si="1"/>
        <v>12</v>
      </c>
      <c r="G14" s="49">
        <f>IFERROR(F14/E14,0)</f>
        <v>0.9230769231</v>
      </c>
      <c r="H14" s="50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B1:H1"/>
    <mergeCell ref="B2:H2"/>
    <mergeCell ref="B14:D14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6.71"/>
    <col customWidth="1" min="3" max="3" width="8.0"/>
    <col customWidth="1" min="4" max="4" width="56.14"/>
    <col customWidth="1" min="5" max="5" width="20.0"/>
    <col customWidth="1" min="6" max="6" width="3.0"/>
    <col customWidth="1" min="7" max="26" width="8.71"/>
  </cols>
  <sheetData>
    <row r="1">
      <c r="B1" s="2" t="s">
        <v>60</v>
      </c>
      <c r="C1" s="3"/>
      <c r="D1" s="3"/>
      <c r="E1" s="4"/>
    </row>
    <row r="2">
      <c r="B2" s="5" t="s">
        <v>61</v>
      </c>
      <c r="C2" s="3"/>
      <c r="D2" s="3"/>
      <c r="E2" s="4"/>
    </row>
    <row r="3">
      <c r="B3" s="6" t="s">
        <v>62</v>
      </c>
      <c r="C3" s="3"/>
      <c r="D3" s="3"/>
      <c r="E3" s="4"/>
    </row>
    <row r="4">
      <c r="B4" s="51" t="s">
        <v>63</v>
      </c>
      <c r="C4" s="52">
        <f>'📋 Sprint 2 Backlog'!E14</f>
        <v>13</v>
      </c>
      <c r="D4" s="53" t="s">
        <v>64</v>
      </c>
      <c r="E4" s="54"/>
    </row>
    <row r="5">
      <c r="B5" s="7" t="s">
        <v>65</v>
      </c>
      <c r="C5" s="52">
        <f>'📋 Sprint 2 Backlog'!F14</f>
        <v>12</v>
      </c>
      <c r="D5" s="9" t="s">
        <v>66</v>
      </c>
      <c r="E5" s="55"/>
    </row>
    <row r="6">
      <c r="B6" s="51" t="s">
        <v>67</v>
      </c>
      <c r="C6" s="52">
        <f>'📋 Sprint 2 Backlog'!E14-'📋 Sprint 2 Backlog'!F14</f>
        <v>1</v>
      </c>
      <c r="D6" s="53" t="s">
        <v>68</v>
      </c>
      <c r="E6" s="54"/>
    </row>
    <row r="7">
      <c r="B7" s="7" t="s">
        <v>69</v>
      </c>
      <c r="C7" s="56">
        <f>IFERROR('📋 Sprint 2 Backlog'!F14/'📋 Sprint 2 Backlog'!E14,0)</f>
        <v>0.9230769231</v>
      </c>
      <c r="D7" s="9" t="s">
        <v>70</v>
      </c>
      <c r="E7" s="55"/>
    </row>
    <row r="8">
      <c r="B8" s="51" t="s">
        <v>71</v>
      </c>
      <c r="C8" s="52">
        <f>COUNTIF('📋 Sprint 2 Backlog'!G4:G13,"✅ Done")</f>
        <v>6</v>
      </c>
      <c r="D8" s="53" t="s">
        <v>72</v>
      </c>
      <c r="E8" s="54"/>
    </row>
    <row r="9">
      <c r="B9" s="7" t="s">
        <v>73</v>
      </c>
      <c r="C9" s="52">
        <f>COUNTIF('📋 Sprint 2 Backlog'!G4:G13,"🔄 In Progress")</f>
        <v>2</v>
      </c>
      <c r="D9" s="9" t="s">
        <v>74</v>
      </c>
      <c r="E9" s="55"/>
    </row>
    <row r="10">
      <c r="B10" s="13" t="s">
        <v>75</v>
      </c>
      <c r="C10" s="3"/>
      <c r="D10" s="3"/>
      <c r="E10" s="4"/>
    </row>
    <row r="11">
      <c r="B11" s="7" t="s">
        <v>76</v>
      </c>
      <c r="C11" s="52">
        <f>'📋 Sprint 2 Backlog'!F14</f>
        <v>12</v>
      </c>
      <c r="D11" s="9" t="s">
        <v>77</v>
      </c>
      <c r="E11" s="55"/>
    </row>
    <row r="12">
      <c r="B12" s="51" t="s">
        <v>18</v>
      </c>
      <c r="C12" s="52">
        <f>'⚙ Configuración Sprint 2'!C11</f>
        <v>15</v>
      </c>
      <c r="D12" s="53" t="s">
        <v>78</v>
      </c>
      <c r="E12" s="54"/>
    </row>
    <row r="13">
      <c r="B13" s="7" t="s">
        <v>79</v>
      </c>
      <c r="C13" s="57">
        <f>'📋 Sprint 2 Backlog'!F14-'⚙ Configuración Sprint 2'!C11</f>
        <v>-3</v>
      </c>
      <c r="D13" s="9" t="s">
        <v>80</v>
      </c>
      <c r="E13" s="55"/>
    </row>
    <row r="14">
      <c r="B14" s="51" t="s">
        <v>81</v>
      </c>
      <c r="C14" s="58">
        <f>IFERROR('📋 Sprint 2 Backlog'!F14/'⚙ Configuración Sprint 2'!C12,0)</f>
        <v>2</v>
      </c>
      <c r="D14" s="53" t="s">
        <v>82</v>
      </c>
      <c r="E14" s="54"/>
    </row>
    <row r="15">
      <c r="B15" s="7" t="s">
        <v>83</v>
      </c>
      <c r="C15" s="59">
        <f>IFERROR('📋 Sprint 2 Backlog'!F14/('⚙ Configuración Sprint 2'!C12*'⚙ Configuración Sprint 2'!C9),0)</f>
        <v>0.4</v>
      </c>
      <c r="D15" s="9" t="s">
        <v>84</v>
      </c>
      <c r="E15" s="55"/>
    </row>
    <row r="16">
      <c r="B16" s="60" t="s">
        <v>85</v>
      </c>
      <c r="C16" s="3"/>
      <c r="D16" s="3"/>
      <c r="E16" s="4"/>
    </row>
    <row r="17">
      <c r="B17" s="7" t="s">
        <v>86</v>
      </c>
      <c r="C17" s="61">
        <v>5.0</v>
      </c>
      <c r="D17" s="9" t="s">
        <v>87</v>
      </c>
      <c r="E17" s="55"/>
    </row>
    <row r="18">
      <c r="B18" s="51" t="s">
        <v>88</v>
      </c>
      <c r="C18" s="52">
        <f>'⚙ Configuración Sprint 2'!C9-C17</f>
        <v>0</v>
      </c>
      <c r="D18" s="53" t="s">
        <v>89</v>
      </c>
      <c r="E18" s="54"/>
    </row>
    <row r="19">
      <c r="B19" s="7" t="s">
        <v>90</v>
      </c>
      <c r="C19" s="58" t="str">
        <f>IF(C18&lt;=0,"Sprint terminado",('📋 Sprint 2 Backlog'!E14-'📋 Sprint 2 Backlog'!F14)/C18)</f>
        <v>Sprint terminado</v>
      </c>
      <c r="D19" s="9" t="s">
        <v>91</v>
      </c>
      <c r="E19" s="55"/>
    </row>
    <row r="20">
      <c r="B20" s="51" t="s">
        <v>92</v>
      </c>
      <c r="C20" s="58">
        <f>IF(C17=0,0,'📋 Sprint 2 Backlog'!F14/C17)</f>
        <v>2.4</v>
      </c>
      <c r="D20" s="53" t="s">
        <v>93</v>
      </c>
      <c r="E20" s="54"/>
    </row>
    <row r="21" ht="15.75" customHeight="1">
      <c r="B21" s="7" t="s">
        <v>94</v>
      </c>
      <c r="C21" s="59">
        <f>IF(C17=0,1,C20/IFERROR(('⚙ Configuración Sprint 2'!C10/'⚙ Configuración Sprint 2'!C9),1))</f>
        <v>0.9230769231</v>
      </c>
      <c r="D21" s="9" t="s">
        <v>95</v>
      </c>
      <c r="E21" s="55"/>
    </row>
    <row r="22" ht="15.75" customHeight="1">
      <c r="B22" s="62" t="s">
        <v>96</v>
      </c>
      <c r="C22" s="3"/>
      <c r="D22" s="3"/>
      <c r="E22" s="4"/>
    </row>
    <row r="23" ht="15.75" customHeight="1">
      <c r="B23" s="63" t="s">
        <v>97</v>
      </c>
      <c r="C23" s="64" t="s">
        <v>98</v>
      </c>
      <c r="D23" s="3"/>
      <c r="E23" s="4"/>
    </row>
    <row r="24" ht="15.75" customHeight="1">
      <c r="B24" s="65" t="s">
        <v>99</v>
      </c>
      <c r="C24" s="66" t="s">
        <v>100</v>
      </c>
      <c r="D24" s="3"/>
      <c r="E24" s="4"/>
    </row>
    <row r="25" ht="15.75" customHeight="1">
      <c r="B25" s="67" t="s">
        <v>101</v>
      </c>
      <c r="C25" s="68" t="s">
        <v>102</v>
      </c>
      <c r="D25" s="3"/>
      <c r="E25" s="4"/>
    </row>
    <row r="26" ht="15.75" customHeight="1">
      <c r="B26" s="69" t="s">
        <v>103</v>
      </c>
      <c r="C26" s="70" t="s">
        <v>104</v>
      </c>
      <c r="D26" s="3"/>
      <c r="E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24:E24"/>
    <mergeCell ref="C25:E25"/>
    <mergeCell ref="C26:E26"/>
    <mergeCell ref="B1:E1"/>
    <mergeCell ref="B2:E2"/>
    <mergeCell ref="B3:E3"/>
    <mergeCell ref="B10:E10"/>
    <mergeCell ref="B16:E16"/>
    <mergeCell ref="B22:E22"/>
    <mergeCell ref="C23:E23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4.14"/>
    <col customWidth="1" min="3" max="3" width="10.0"/>
    <col customWidth="1" min="4" max="4" width="14.0"/>
    <col customWidth="1" min="5" max="6" width="16.0"/>
    <col customWidth="1" min="7" max="8" width="15.0"/>
    <col customWidth="1" min="9" max="29" width="8.71"/>
  </cols>
  <sheetData>
    <row r="1">
      <c r="C1" s="2" t="s">
        <v>126</v>
      </c>
      <c r="D1" s="3"/>
      <c r="E1" s="3"/>
      <c r="F1" s="3"/>
      <c r="G1" s="3"/>
      <c r="H1" s="4"/>
    </row>
    <row r="2">
      <c r="C2" s="5" t="s">
        <v>127</v>
      </c>
      <c r="D2" s="3"/>
      <c r="E2" s="3"/>
      <c r="F2" s="3"/>
      <c r="G2" s="3"/>
      <c r="H2" s="4"/>
    </row>
    <row r="3" ht="30.0" customHeight="1">
      <c r="B3" s="75" t="s">
        <v>128</v>
      </c>
      <c r="C3" s="76" t="s">
        <v>129</v>
      </c>
      <c r="D3" s="76" t="s">
        <v>130</v>
      </c>
      <c r="E3" s="77" t="s">
        <v>131</v>
      </c>
      <c r="F3" s="78" t="s">
        <v>132</v>
      </c>
      <c r="G3" s="79" t="s">
        <v>133</v>
      </c>
      <c r="H3" s="80" t="s">
        <v>134</v>
      </c>
    </row>
    <row r="4" ht="21.75" customHeight="1">
      <c r="B4" s="81">
        <v>1.0</v>
      </c>
      <c r="C4" s="81">
        <v>1.0</v>
      </c>
      <c r="D4" s="82" t="s">
        <v>135</v>
      </c>
      <c r="E4" s="83">
        <f>'⚙ Configuración Sprint 1'!$C$10*(6-C4)/5</f>
        <v>15</v>
      </c>
      <c r="F4" s="32">
        <v>5.0</v>
      </c>
      <c r="G4" s="84">
        <f t="shared" ref="G4:G14" si="1">SUM($F$4:F4)</f>
        <v>5</v>
      </c>
      <c r="H4" s="85">
        <f>'⚙ Configuración Sprint 1'!$C$10-G4</f>
        <v>10</v>
      </c>
    </row>
    <row r="5" ht="21.75" customHeight="1">
      <c r="B5" s="86">
        <v>1.0</v>
      </c>
      <c r="C5" s="87">
        <v>2.0</v>
      </c>
      <c r="D5" s="88" t="s">
        <v>136</v>
      </c>
      <c r="E5" s="83">
        <f>'⚙ Configuración Sprint 1'!$C$10*(6-C5)/5</f>
        <v>12</v>
      </c>
      <c r="F5" s="32">
        <v>6.0</v>
      </c>
      <c r="G5" s="84">
        <f t="shared" si="1"/>
        <v>11</v>
      </c>
      <c r="H5" s="85">
        <f>'⚙ Configuración Sprint 1'!$C$10-G5</f>
        <v>4</v>
      </c>
    </row>
    <row r="6" ht="21.75" customHeight="1">
      <c r="B6" s="89">
        <v>1.0</v>
      </c>
      <c r="C6" s="81">
        <v>3.0</v>
      </c>
      <c r="D6" s="82" t="s">
        <v>137</v>
      </c>
      <c r="E6" s="83">
        <f>'⚙ Configuración Sprint 1'!$C$10*(6-C6)/5</f>
        <v>9</v>
      </c>
      <c r="F6" s="32">
        <v>4.0</v>
      </c>
      <c r="G6" s="84">
        <f t="shared" si="1"/>
        <v>15</v>
      </c>
      <c r="H6" s="85">
        <f>'⚙ Configuración Sprint 1'!$C$10-G6</f>
        <v>0</v>
      </c>
    </row>
    <row r="7" ht="21.75" customHeight="1">
      <c r="B7" s="86">
        <v>1.0</v>
      </c>
      <c r="C7" s="87">
        <v>4.0</v>
      </c>
      <c r="D7" s="88" t="s">
        <v>138</v>
      </c>
      <c r="E7" s="83">
        <f>'⚙ Configuración Sprint 1'!$C$10*(6-C7)/5</f>
        <v>6</v>
      </c>
      <c r="F7" s="32">
        <v>0.0</v>
      </c>
      <c r="G7" s="84">
        <f t="shared" si="1"/>
        <v>15</v>
      </c>
      <c r="H7" s="85">
        <f>'⚙ Configuración Sprint 1'!$C$10-G7</f>
        <v>0</v>
      </c>
    </row>
    <row r="8" ht="21.75" customHeight="1">
      <c r="B8" s="89">
        <v>1.0</v>
      </c>
      <c r="C8" s="81">
        <v>5.0</v>
      </c>
      <c r="D8" s="82" t="s">
        <v>139</v>
      </c>
      <c r="E8" s="83">
        <f>'⚙ Configuración Sprint 1'!$C$10*(6-C8)/5</f>
        <v>3</v>
      </c>
      <c r="F8" s="32">
        <v>0.0</v>
      </c>
      <c r="G8" s="84">
        <f t="shared" si="1"/>
        <v>15</v>
      </c>
      <c r="H8" s="85">
        <f>'⚙ Configuración Sprint 1'!$C$10-G8</f>
        <v>0</v>
      </c>
    </row>
    <row r="9" ht="21.75" customHeight="1">
      <c r="B9" s="86">
        <v>1.0</v>
      </c>
      <c r="C9" s="87">
        <v>6.0</v>
      </c>
      <c r="D9" s="88" t="s">
        <v>140</v>
      </c>
      <c r="E9" s="83">
        <f>'⚙ Configuración Sprint 1'!$C$10*(6-C9)/5</f>
        <v>0</v>
      </c>
      <c r="F9" s="32">
        <v>0.0</v>
      </c>
      <c r="G9" s="84">
        <f t="shared" si="1"/>
        <v>15</v>
      </c>
      <c r="H9" s="85">
        <f>'⚙ Configuración Sprint 1'!$C$10-G9</f>
        <v>0</v>
      </c>
    </row>
    <row r="10">
      <c r="B10" s="89">
        <v>2.0</v>
      </c>
      <c r="C10" s="89">
        <v>1.0</v>
      </c>
      <c r="D10" s="90" t="s">
        <v>141</v>
      </c>
      <c r="E10" s="83">
        <f>'⚙ Configuración Sprint 2'!$C$10*(5-C10)/4</f>
        <v>13</v>
      </c>
      <c r="F10" s="32">
        <v>0.0</v>
      </c>
      <c r="G10" s="84">
        <f t="shared" si="1"/>
        <v>15</v>
      </c>
      <c r="H10" s="85">
        <f>'⚙ Configuración Sprint 2'!$C$10-(G10-G9)</f>
        <v>13</v>
      </c>
    </row>
    <row r="11">
      <c r="B11" s="86">
        <v>2.0</v>
      </c>
      <c r="C11" s="86">
        <v>2.0</v>
      </c>
      <c r="D11" s="91">
        <v>46293.0</v>
      </c>
      <c r="E11" s="83">
        <f>'⚙ Configuración Sprint 2'!$C$10*(5-C11)/4</f>
        <v>9.75</v>
      </c>
      <c r="F11" s="32">
        <v>6.0</v>
      </c>
      <c r="G11" s="84">
        <f t="shared" si="1"/>
        <v>21</v>
      </c>
      <c r="H11" s="85">
        <f>'⚙ Configuración Sprint 2'!$C$10-(G11-G9)</f>
        <v>7</v>
      </c>
    </row>
    <row r="12">
      <c r="B12" s="89">
        <v>2.0</v>
      </c>
      <c r="C12" s="89">
        <v>3.0</v>
      </c>
      <c r="D12" s="92">
        <v>46296.0</v>
      </c>
      <c r="E12" s="83">
        <f>'⚙ Configuración Sprint 2'!$C$10*(5-C12)/4</f>
        <v>6.5</v>
      </c>
      <c r="F12" s="32">
        <v>0.0</v>
      </c>
      <c r="G12" s="84">
        <f t="shared" si="1"/>
        <v>21</v>
      </c>
      <c r="H12" s="85">
        <f>'⚙ Configuración Sprint 2'!$C$10-(G12-G9)</f>
        <v>7</v>
      </c>
    </row>
    <row r="13">
      <c r="B13" s="86">
        <v>2.0</v>
      </c>
      <c r="C13" s="86">
        <v>4.0</v>
      </c>
      <c r="D13" s="91">
        <v>46300.0</v>
      </c>
      <c r="E13" s="83">
        <f>'⚙ Configuración Sprint 2'!$C$10*(5-C13)/4</f>
        <v>3.25</v>
      </c>
      <c r="F13" s="32">
        <v>2.0</v>
      </c>
      <c r="G13" s="84">
        <f t="shared" si="1"/>
        <v>23</v>
      </c>
      <c r="H13" s="85">
        <f>'⚙ Configuración Sprint 2'!$C$10-(G13-G9)</f>
        <v>5</v>
      </c>
    </row>
    <row r="14">
      <c r="B14" s="89">
        <v>2.0</v>
      </c>
      <c r="C14" s="89">
        <v>5.0</v>
      </c>
      <c r="D14" s="91">
        <v>46303.0</v>
      </c>
      <c r="E14" s="83">
        <f>'⚙ Configuración Sprint 2'!$C$10*(5-C14)/4</f>
        <v>0</v>
      </c>
      <c r="F14" s="32">
        <v>3.0</v>
      </c>
      <c r="G14" s="84">
        <f t="shared" si="1"/>
        <v>26</v>
      </c>
      <c r="H14" s="85">
        <f>'⚙ Configuración Sprint 2'!$C$10-(G14-G10)</f>
        <v>2</v>
      </c>
    </row>
    <row r="15">
      <c r="B15" s="86"/>
      <c r="C15" s="87"/>
      <c r="D15" s="93"/>
      <c r="E15" s="83"/>
      <c r="F15" s="32"/>
      <c r="G15" s="84"/>
      <c r="H15" s="8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:H1"/>
    <mergeCell ref="C2:H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40.0"/>
    <col customWidth="1" min="4" max="4" width="22.0"/>
    <col customWidth="1" min="5" max="5" width="14.0"/>
    <col customWidth="1" min="6" max="6" width="3.0"/>
    <col customWidth="1" min="7" max="26" width="8.71"/>
  </cols>
  <sheetData>
    <row r="1">
      <c r="C1" s="2" t="s">
        <v>142</v>
      </c>
      <c r="D1" s="3"/>
      <c r="E1" s="4"/>
    </row>
    <row r="2">
      <c r="C2" s="5" t="s">
        <v>143</v>
      </c>
      <c r="D2" s="3"/>
      <c r="E2" s="4"/>
    </row>
    <row r="3">
      <c r="C3" s="94" t="s">
        <v>144</v>
      </c>
      <c r="D3" s="3"/>
      <c r="E3" s="4"/>
    </row>
    <row r="4">
      <c r="C4" s="95" t="s">
        <v>145</v>
      </c>
      <c r="D4" s="3"/>
      <c r="E4" s="4"/>
    </row>
    <row r="5">
      <c r="C5" s="95" t="s">
        <v>146</v>
      </c>
      <c r="D5" s="3"/>
      <c r="E5" s="4"/>
    </row>
    <row r="6">
      <c r="C6" s="64"/>
      <c r="D6" s="3"/>
      <c r="E6" s="4"/>
    </row>
    <row r="8">
      <c r="C8" s="96" t="s">
        <v>147</v>
      </c>
      <c r="D8" s="3"/>
      <c r="E8" s="4"/>
    </row>
    <row r="9">
      <c r="C9" s="70"/>
      <c r="D9" s="3"/>
      <c r="E9" s="4"/>
    </row>
    <row r="10">
      <c r="C10" s="70"/>
      <c r="D10" s="3"/>
      <c r="E10" s="4"/>
    </row>
    <row r="11">
      <c r="C11" s="70"/>
      <c r="D11" s="3"/>
      <c r="E11" s="4"/>
    </row>
    <row r="13">
      <c r="C13" s="97" t="s">
        <v>148</v>
      </c>
      <c r="D13" s="3"/>
      <c r="E13" s="4"/>
    </row>
    <row r="14">
      <c r="C14" s="98" t="s">
        <v>149</v>
      </c>
      <c r="D14" s="3"/>
      <c r="E14" s="4"/>
    </row>
    <row r="15">
      <c r="C15" s="66"/>
      <c r="D15" s="3"/>
      <c r="E15" s="4"/>
    </row>
    <row r="16">
      <c r="C16" s="66"/>
      <c r="D16" s="3"/>
      <c r="E16" s="4"/>
    </row>
    <row r="18">
      <c r="C18" s="99" t="s">
        <v>150</v>
      </c>
      <c r="D18" s="3"/>
      <c r="E18" s="4"/>
    </row>
    <row r="19">
      <c r="C19" s="100" t="s">
        <v>151</v>
      </c>
      <c r="D19" s="101" t="s">
        <v>34</v>
      </c>
      <c r="E19" s="102" t="s">
        <v>152</v>
      </c>
    </row>
    <row r="20">
      <c r="C20" s="103" t="s">
        <v>153</v>
      </c>
      <c r="D20" s="104" t="s">
        <v>154</v>
      </c>
      <c r="E20" s="105">
        <v>46244.0</v>
      </c>
    </row>
    <row r="21" ht="19.5" customHeight="1">
      <c r="C21" s="106" t="s">
        <v>155</v>
      </c>
      <c r="D21" s="107" t="s">
        <v>58</v>
      </c>
      <c r="E21" s="108">
        <v>46244.0</v>
      </c>
    </row>
    <row r="22" ht="19.5" customHeight="1">
      <c r="C22" s="109"/>
      <c r="D22" s="110"/>
      <c r="E22" s="111"/>
    </row>
    <row r="23" ht="19.5" customHeight="1">
      <c r="C23" s="112"/>
      <c r="D23" s="113"/>
      <c r="E23" s="11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9:E9"/>
    <mergeCell ref="C10:E10"/>
    <mergeCell ref="C11:E11"/>
    <mergeCell ref="C13:E13"/>
    <mergeCell ref="C14:E14"/>
    <mergeCell ref="C15:E15"/>
    <mergeCell ref="C16:E16"/>
    <mergeCell ref="C18:E18"/>
    <mergeCell ref="C1:E1"/>
    <mergeCell ref="C2:E2"/>
    <mergeCell ref="C3:E3"/>
    <mergeCell ref="C4:E4"/>
    <mergeCell ref="C5:E5"/>
    <mergeCell ref="C6:E6"/>
    <mergeCell ref="C8:E8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3.0"/>
    <col customWidth="1" min="3" max="3" width="40.0"/>
    <col customWidth="1" min="4" max="4" width="22.0"/>
    <col customWidth="1" min="5" max="5" width="36.71"/>
    <col customWidth="1" min="6" max="6" width="3.0"/>
    <col customWidth="1" min="7" max="26" width="8.71"/>
  </cols>
  <sheetData>
    <row r="1">
      <c r="C1" s="2" t="s">
        <v>142</v>
      </c>
      <c r="D1" s="3"/>
      <c r="E1" s="4"/>
    </row>
    <row r="2">
      <c r="C2" s="5" t="s">
        <v>143</v>
      </c>
      <c r="D2" s="3"/>
      <c r="E2" s="4"/>
    </row>
    <row r="3">
      <c r="C3" s="94" t="s">
        <v>144</v>
      </c>
      <c r="D3" s="3"/>
      <c r="E3" s="4"/>
    </row>
    <row r="4">
      <c r="C4" s="95" t="s">
        <v>145</v>
      </c>
      <c r="D4" s="3"/>
      <c r="E4" s="4"/>
    </row>
    <row r="5">
      <c r="C5" s="95" t="s">
        <v>146</v>
      </c>
      <c r="D5" s="3"/>
      <c r="E5" s="4"/>
    </row>
    <row r="6">
      <c r="C6" s="64"/>
      <c r="D6" s="3"/>
      <c r="E6" s="4"/>
    </row>
    <row r="8">
      <c r="C8" s="96" t="s">
        <v>147</v>
      </c>
      <c r="D8" s="3"/>
      <c r="E8" s="4"/>
    </row>
    <row r="9">
      <c r="C9" s="70"/>
      <c r="D9" s="3"/>
      <c r="E9" s="4"/>
    </row>
    <row r="10">
      <c r="C10" s="70"/>
      <c r="D10" s="3"/>
      <c r="E10" s="4"/>
    </row>
    <row r="11">
      <c r="C11" s="70"/>
      <c r="D11" s="3"/>
      <c r="E11" s="4"/>
    </row>
    <row r="13">
      <c r="C13" s="97" t="s">
        <v>148</v>
      </c>
      <c r="D13" s="3"/>
      <c r="E13" s="4"/>
    </row>
    <row r="14">
      <c r="C14" s="98" t="s">
        <v>156</v>
      </c>
      <c r="D14" s="3"/>
      <c r="E14" s="4"/>
    </row>
    <row r="15">
      <c r="C15" s="98" t="s">
        <v>157</v>
      </c>
      <c r="D15" s="3"/>
      <c r="E15" s="4"/>
    </row>
    <row r="16">
      <c r="C16" s="98" t="s">
        <v>158</v>
      </c>
      <c r="D16" s="3"/>
      <c r="E16" s="4"/>
    </row>
    <row r="18">
      <c r="C18" s="99" t="s">
        <v>150</v>
      </c>
      <c r="D18" s="3"/>
      <c r="E18" s="4"/>
    </row>
    <row r="19">
      <c r="C19" s="100" t="s">
        <v>151</v>
      </c>
      <c r="D19" s="101" t="s">
        <v>34</v>
      </c>
      <c r="E19" s="102" t="s">
        <v>152</v>
      </c>
    </row>
    <row r="20">
      <c r="C20" s="103" t="s">
        <v>153</v>
      </c>
      <c r="D20" s="104" t="s">
        <v>154</v>
      </c>
      <c r="E20" s="105">
        <v>46309.0</v>
      </c>
    </row>
    <row r="21" ht="19.5" customHeight="1">
      <c r="C21" s="106" t="s">
        <v>155</v>
      </c>
      <c r="D21" s="107" t="s">
        <v>58</v>
      </c>
      <c r="E21" s="108">
        <v>46309.0</v>
      </c>
    </row>
    <row r="22" ht="19.5" customHeight="1">
      <c r="C22" s="109"/>
      <c r="D22" s="110"/>
      <c r="E22" s="111"/>
    </row>
    <row r="23" ht="19.5" customHeight="1">
      <c r="C23" s="112"/>
      <c r="D23" s="113"/>
      <c r="E23" s="11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9:E9"/>
    <mergeCell ref="C10:E10"/>
    <mergeCell ref="C11:E11"/>
    <mergeCell ref="C13:E13"/>
    <mergeCell ref="C14:E14"/>
    <mergeCell ref="C15:E15"/>
    <mergeCell ref="C16:E16"/>
    <mergeCell ref="C18:E18"/>
    <mergeCell ref="C1:E1"/>
    <mergeCell ref="C2:E2"/>
    <mergeCell ref="C3:E3"/>
    <mergeCell ref="C4:E4"/>
    <mergeCell ref="C5:E5"/>
    <mergeCell ref="C6:E6"/>
    <mergeCell ref="C8:E8"/>
  </mergeCells>
  <printOptions/>
  <pageMargins bottom="1.0" footer="0.0" header="0.0" left="0.75" right="0.75" top="1.0"/>
  <pageSetup paperSize="9" orientation="portrait"/>
  <drawing r:id="rId1"/>
</worksheet>
</file>